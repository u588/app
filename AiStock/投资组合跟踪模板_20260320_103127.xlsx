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组合概览" sheetId="1" state="visible" r:id="rId1"/>
    <sheet xmlns:r="http://schemas.openxmlformats.org/officeDocument/2006/relationships" name="07_参数设置" sheetId="2" state="visible" r:id="rId2"/>
    <sheet xmlns:r="http://schemas.openxmlformats.org/officeDocument/2006/relationships" name="02_持仓明细" sheetId="3" state="visible" r:id="rId3"/>
    <sheet xmlns:r="http://schemas.openxmlformats.org/officeDocument/2006/relationships" name="03_交易记录" sheetId="4" state="visible" r:id="rId4"/>
    <sheet xmlns:r="http://schemas.openxmlformats.org/officeDocument/2006/relationships" name="04_财务监控" sheetId="5" state="visible" r:id="rId5"/>
    <sheet xmlns:r="http://schemas.openxmlformats.org/officeDocument/2006/relationships" name="05_技术信号" sheetId="6" state="visible" r:id="rId6"/>
    <sheet xmlns:r="http://schemas.openxmlformats.org/officeDocument/2006/relationships" name="06_再平衡日志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8"/>
    </font>
    <font>
      <name val="微软雅黑"/>
      <b val="1"/>
      <sz val="10"/>
    </font>
    <font>
      <name val="微软雅黑"/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📊 投资组合跟踪仪表盘</t>
        </is>
      </c>
    </row>
    <row r="3">
      <c r="A3" s="2" t="inlineStr">
        <is>
          <t>指标名称</t>
        </is>
      </c>
      <c r="B3" s="3" t="inlineStr">
        <is>
          <t>数值</t>
        </is>
      </c>
      <c r="C3" s="4" t="inlineStr">
        <is>
          <t>说明</t>
        </is>
      </c>
    </row>
    <row r="4">
      <c r="A4" s="2" t="inlineStr">
        <is>
          <t>组合总市值</t>
        </is>
      </c>
      <c r="B4" s="3" t="inlineStr">
        <is>
          <t>¥100,000</t>
        </is>
      </c>
      <c r="C4" s="4" t="inlineStr">
        <is>
          <t>当前持仓总市值</t>
        </is>
      </c>
    </row>
    <row r="5">
      <c r="A5" s="2" t="inlineStr">
        <is>
          <t>当日盈亏</t>
        </is>
      </c>
      <c r="B5" s="3" t="inlineStr">
        <is>
          <t>¥0</t>
        </is>
      </c>
      <c r="C5" s="4" t="inlineStr">
        <is>
          <t>当日浮动盈亏</t>
        </is>
      </c>
    </row>
    <row r="6">
      <c r="A6" s="2" t="inlineStr">
        <is>
          <t>累计收益率</t>
        </is>
      </c>
      <c r="B6" s="3" t="inlineStr">
        <is>
          <t>0.00%</t>
        </is>
      </c>
      <c r="C6" s="4" t="inlineStr">
        <is>
          <t>相对于初始本金</t>
        </is>
      </c>
    </row>
    <row r="7">
      <c r="A7" s="2" t="inlineStr">
        <is>
          <t>年化收益率</t>
        </is>
      </c>
      <c r="B7" s="3" t="inlineStr">
        <is>
          <t>0.00%</t>
        </is>
      </c>
      <c r="C7" s="4" t="inlineStr">
        <is>
          <t>年化计算</t>
        </is>
      </c>
    </row>
    <row r="8">
      <c r="A8" s="2" t="inlineStr">
        <is>
          <t>最大回撤</t>
        </is>
      </c>
      <c r="B8" s="3" t="inlineStr">
        <is>
          <t>0.00%</t>
        </is>
      </c>
      <c r="C8" s="4" t="inlineStr">
        <is>
          <t>历史最大回撤</t>
        </is>
      </c>
    </row>
    <row r="9">
      <c r="A9" s="2" t="inlineStr">
        <is>
          <t>夏普比率</t>
        </is>
      </c>
      <c r="B9" s="3" t="inlineStr">
        <is>
          <t>0.00</t>
        </is>
      </c>
      <c r="C9" s="4" t="inlineStr">
        <is>
          <t>风险调整后收益</t>
        </is>
      </c>
    </row>
    <row r="10">
      <c r="A10" s="2" t="inlineStr">
        <is>
          <t>持仓数量</t>
        </is>
      </c>
      <c r="B10" s="3" t="inlineStr">
        <is>
          <t>18只</t>
        </is>
      </c>
      <c r="C10" s="4" t="inlineStr">
        <is>
          <t>当前持仓标的数</t>
        </is>
      </c>
    </row>
    <row r="11">
      <c r="A11" s="2" t="inlineStr">
        <is>
          <t>现金比例</t>
        </is>
      </c>
      <c r="B11" s="3" t="inlineStr">
        <is>
          <t>3.00%</t>
        </is>
      </c>
      <c r="C11" s="4" t="inlineStr">
        <is>
          <t>现金占总资产比例</t>
        </is>
      </c>
    </row>
    <row r="14">
      <c r="A14" s="5" t="inlineStr">
        <is>
          <t>📈 板块配置分布</t>
        </is>
      </c>
      <c r="E14" s="5" t="inlineStr">
        <is>
          <t>⚠️ 预警信号</t>
        </is>
      </c>
    </row>
    <row r="15">
      <c r="A15" s="6" t="inlineStr">
        <is>
          <t>板块</t>
        </is>
      </c>
      <c r="B15" s="6" t="inlineStr">
        <is>
          <t>目标市值</t>
        </is>
      </c>
      <c r="C15" s="6" t="inlineStr">
        <is>
          <t>占比</t>
        </is>
      </c>
      <c r="E15" s="7" t="inlineStr">
        <is>
          <t>预警类型</t>
        </is>
      </c>
      <c r="F15" s="7" t="inlineStr">
        <is>
          <t>触发条件</t>
        </is>
      </c>
      <c r="G15" s="7" t="inlineStr">
        <is>
          <t>当前状态</t>
        </is>
      </c>
    </row>
    <row r="16">
      <c r="A16" t="inlineStr">
        <is>
          <t>上游油气</t>
        </is>
      </c>
      <c r="B16" t="inlineStr">
        <is>
          <t>¥18,000</t>
        </is>
      </c>
      <c r="C16" t="inlineStr">
        <is>
          <t>13.1%</t>
        </is>
      </c>
      <c r="E16" s="7" t="inlineStr">
        <is>
          <t>止损预警</t>
        </is>
      </c>
      <c r="F16" s="7" t="inlineStr">
        <is>
          <t>股价&lt;止损价</t>
        </is>
      </c>
      <c r="G16" s="7" t="inlineStr">
        <is>
          <t>正常</t>
        </is>
      </c>
    </row>
    <row r="17">
      <c r="A17" t="inlineStr">
        <is>
          <t>LNG</t>
        </is>
      </c>
      <c r="B17" t="inlineStr">
        <is>
          <t>¥12,000</t>
        </is>
      </c>
      <c r="C17" t="inlineStr">
        <is>
          <t>8.8%</t>
        </is>
      </c>
      <c r="E17" s="7" t="inlineStr">
        <is>
          <t>目标价预警</t>
        </is>
      </c>
      <c r="F17" s="7" t="inlineStr">
        <is>
          <t>股价&gt;目标价 95%</t>
        </is>
      </c>
      <c r="G17" s="7" t="inlineStr">
        <is>
          <t>正常</t>
        </is>
      </c>
    </row>
    <row r="18">
      <c r="A18" t="inlineStr">
        <is>
          <t>油服</t>
        </is>
      </c>
      <c r="B18" t="inlineStr">
        <is>
          <t>¥12,000</t>
        </is>
      </c>
      <c r="C18" t="inlineStr">
        <is>
          <t>8.8%</t>
        </is>
      </c>
      <c r="E18" s="7" t="inlineStr">
        <is>
          <t>权重偏离</t>
        </is>
      </c>
      <c r="F18" s="7" t="inlineStr">
        <is>
          <t>偏离&gt;15%</t>
        </is>
      </c>
      <c r="G18" s="7" t="inlineStr">
        <is>
          <t>正常</t>
        </is>
      </c>
    </row>
    <row r="19">
      <c r="A19" t="inlineStr">
        <is>
          <t>煤炭化工</t>
        </is>
      </c>
      <c r="B19" t="inlineStr">
        <is>
          <t>¥12,000</t>
        </is>
      </c>
      <c r="C19" t="inlineStr">
        <is>
          <t>8.8%</t>
        </is>
      </c>
      <c r="E19" s="7" t="inlineStr">
        <is>
          <t>股息率达标</t>
        </is>
      </c>
      <c r="F19" s="7" t="inlineStr">
        <is>
          <t>股息率&gt;3%</t>
        </is>
      </c>
      <c r="G19" s="7" t="inlineStr">
        <is>
          <t>部分达标</t>
        </is>
      </c>
    </row>
    <row r="20">
      <c r="A20" t="inlineStr">
        <is>
          <t>特高压</t>
        </is>
      </c>
      <c r="B20" t="inlineStr">
        <is>
          <t>¥18,000</t>
        </is>
      </c>
      <c r="C20" t="inlineStr">
        <is>
          <t>13.1%</t>
        </is>
      </c>
      <c r="E20" s="7" t="inlineStr">
        <is>
          <t>估值分位</t>
        </is>
      </c>
      <c r="F20" s="7" t="inlineStr">
        <is>
          <t>PE 分位&lt;30%</t>
        </is>
      </c>
      <c r="G20" s="7" t="inlineStr">
        <is>
          <t>合理</t>
        </is>
      </c>
    </row>
    <row r="21">
      <c r="A21" t="inlineStr">
        <is>
          <t>新能源</t>
        </is>
      </c>
      <c r="B21" t="inlineStr">
        <is>
          <t>¥20,000</t>
        </is>
      </c>
      <c r="C21" t="inlineStr">
        <is>
          <t>14.6%</t>
        </is>
      </c>
    </row>
    <row r="22">
      <c r="A22" t="inlineStr">
        <is>
          <t>黄金</t>
        </is>
      </c>
      <c r="B22" t="inlineStr">
        <is>
          <t>¥18,000</t>
        </is>
      </c>
      <c r="C22" t="inlineStr">
        <is>
          <t>13.1%</t>
        </is>
      </c>
    </row>
    <row r="23">
      <c r="A23" t="inlineStr">
        <is>
          <t>军工</t>
        </is>
      </c>
      <c r="B23" t="inlineStr">
        <is>
          <t>¥15,000</t>
        </is>
      </c>
      <c r="C23" t="inlineStr">
        <is>
          <t>10.9%</t>
        </is>
      </c>
    </row>
    <row r="24">
      <c r="A24" t="inlineStr">
        <is>
          <t>政策方向</t>
        </is>
      </c>
      <c r="B24" t="inlineStr">
        <is>
          <t>¥12,000</t>
        </is>
      </c>
      <c r="C24" t="inlineStr">
        <is>
          <t>8.8%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8" t="inlineStr">
        <is>
          <t>全局参数设置</t>
        </is>
      </c>
      <c r="B1" s="8" t="inlineStr"/>
      <c r="C1" s="8" t="inlineStr"/>
      <c r="D1" s="8" t="inlineStr"/>
    </row>
    <row r="2">
      <c r="A2" s="8" t="inlineStr">
        <is>
          <t>参数名称</t>
        </is>
      </c>
      <c r="B2" s="8" t="inlineStr">
        <is>
          <t>当前值</t>
        </is>
      </c>
      <c r="C2" s="8" t="inlineStr">
        <is>
          <t>说明</t>
        </is>
      </c>
      <c r="D2" s="8" t="inlineStr"/>
    </row>
    <row r="3">
      <c r="A3" s="9" t="inlineStr">
        <is>
          <t>初始本金</t>
        </is>
      </c>
      <c r="B3" s="9" t="n">
        <v>100000</v>
      </c>
      <c r="C3" s="9" t="inlineStr">
        <is>
          <t>组合起始资金（元）</t>
        </is>
      </c>
      <c r="D3" s="9" t="inlineStr"/>
    </row>
    <row r="4">
      <c r="A4" s="9" t="inlineStr">
        <is>
          <t>无风险利率</t>
        </is>
      </c>
      <c r="B4" s="9" t="n">
        <v>0.025</v>
      </c>
      <c r="C4" s="9" t="inlineStr">
        <is>
          <t>用于夏普比率计算（年化 2.5%）</t>
        </is>
      </c>
      <c r="D4" s="9" t="inlineStr"/>
    </row>
    <row r="5">
      <c r="A5" s="9" t="inlineStr">
        <is>
          <t>交易佣金率</t>
        </is>
      </c>
      <c r="B5" s="9" t="n">
        <v>0.00025</v>
      </c>
      <c r="C5" s="9" t="inlineStr">
        <is>
          <t>买入佣金 0.025%</t>
        </is>
      </c>
      <c r="D5" s="9" t="inlineStr"/>
    </row>
    <row r="6">
      <c r="A6" s="9" t="inlineStr">
        <is>
          <t>印花税率</t>
        </is>
      </c>
      <c r="B6" s="9" t="n">
        <v>0.001</v>
      </c>
      <c r="C6" s="9" t="inlineStr">
        <is>
          <t>卖出印花税 0.1%</t>
        </is>
      </c>
      <c r="D6" s="9" t="inlineStr"/>
    </row>
    <row r="7">
      <c r="A7" s="9" t="inlineStr">
        <is>
          <t>再平衡阈值</t>
        </is>
      </c>
      <c r="B7" s="9" t="n">
        <v>0.15</v>
      </c>
      <c r="C7" s="9" t="inlineStr">
        <is>
          <t>权重偏离超过 15% 触发再平衡</t>
        </is>
      </c>
      <c r="D7" s="9" t="inlineStr"/>
    </row>
    <row r="8">
      <c r="A8" s="9" t="inlineStr">
        <is>
          <t>止损阈值</t>
        </is>
      </c>
      <c r="B8" s="9" t="n">
        <v>-0.15</v>
      </c>
      <c r="C8" s="9" t="inlineStr">
        <is>
          <t>单标的亏损 15% 触发止损检查</t>
        </is>
      </c>
      <c r="D8" s="9" t="inlineStr"/>
    </row>
    <row r="9">
      <c r="A9" s="9" t="inlineStr">
        <is>
          <t>数据更新日</t>
        </is>
      </c>
      <c r="B9" s="9" t="inlineStr">
        <is>
          <t>2026-03-20</t>
        </is>
      </c>
      <c r="C9" s="9" t="inlineStr">
        <is>
          <t>最后更新时间</t>
        </is>
      </c>
      <c r="D9" s="9" t="inlineStr"/>
    </row>
    <row r="10">
      <c r="A10" s="9" t="inlineStr"/>
      <c r="B10" s="9" t="inlineStr"/>
      <c r="C10" s="9" t="inlineStr"/>
      <c r="D10" s="9" t="inlineStr"/>
    </row>
    <row r="11">
      <c r="A11" s="8" t="inlineStr">
        <is>
          <t>18 只标的策略参数表</t>
        </is>
      </c>
      <c r="B11" s="8" t="inlineStr"/>
      <c r="C11" s="8" t="inlineStr"/>
      <c r="D11" s="8" t="inlineStr"/>
    </row>
    <row r="12">
      <c r="A12" s="10" t="inlineStr">
        <is>
          <t>代码</t>
        </is>
      </c>
      <c r="B12" s="10" t="inlineStr">
        <is>
          <t>名称</t>
        </is>
      </c>
      <c r="C12" s="10" t="inlineStr">
        <is>
          <t>板块</t>
        </is>
      </c>
      <c r="D12" s="10" t="inlineStr">
        <is>
          <t>目标仓位%</t>
        </is>
      </c>
      <c r="E12" s="10" t="inlineStr">
        <is>
          <t>入场下限</t>
        </is>
      </c>
      <c r="F12" s="10" t="inlineStr">
        <is>
          <t>入场上限</t>
        </is>
      </c>
      <c r="G12" s="10" t="inlineStr">
        <is>
          <t>止损价</t>
        </is>
      </c>
      <c r="H12" s="10" t="inlineStr">
        <is>
          <t>目标价</t>
        </is>
      </c>
      <c r="I12" s="10" t="inlineStr">
        <is>
          <t>仓位上限%</t>
        </is>
      </c>
      <c r="J12" s="10" t="inlineStr">
        <is>
          <t>股息率%</t>
        </is>
      </c>
      <c r="K12" s="10" t="inlineStr">
        <is>
          <t>PE(TTM)</t>
        </is>
      </c>
      <c r="L12" s="10" t="inlineStr">
        <is>
          <t>检视频率</t>
        </is>
      </c>
    </row>
    <row r="13">
      <c r="A13" s="7" t="inlineStr">
        <is>
          <t>600938</t>
        </is>
      </c>
      <c r="B13" s="7" t="inlineStr">
        <is>
          <t>中国海油</t>
        </is>
      </c>
      <c r="C13" s="7" t="inlineStr">
        <is>
          <t>上游油气</t>
        </is>
      </c>
      <c r="D13" s="11" t="n">
        <v>10</v>
      </c>
      <c r="E13" s="11" t="n">
        <v>38.5</v>
      </c>
      <c r="F13" s="11" t="n">
        <v>40.5</v>
      </c>
      <c r="G13" s="11" t="n">
        <v>36</v>
      </c>
      <c r="H13" s="11" t="n">
        <v>52</v>
      </c>
      <c r="I13" s="11" t="n">
        <v>12</v>
      </c>
      <c r="J13" s="11" t="n">
        <v>5.2</v>
      </c>
      <c r="K13" s="11" t="n">
        <v>14.4</v>
      </c>
      <c r="L13" s="7" t="inlineStr">
        <is>
          <t>月度</t>
        </is>
      </c>
    </row>
    <row r="14">
      <c r="A14" s="7" t="inlineStr">
        <is>
          <t>601857</t>
        </is>
      </c>
      <c r="B14" s="7" t="inlineStr">
        <is>
          <t>中国石油</t>
        </is>
      </c>
      <c r="C14" s="7" t="inlineStr">
        <is>
          <t>上游油气</t>
        </is>
      </c>
      <c r="D14" s="11" t="n">
        <v>8</v>
      </c>
      <c r="E14" s="11" t="n">
        <v>11.8</v>
      </c>
      <c r="F14" s="11" t="n">
        <v>12.8</v>
      </c>
      <c r="G14" s="11" t="n">
        <v>10.8</v>
      </c>
      <c r="H14" s="11" t="n">
        <v>16</v>
      </c>
      <c r="I14" s="11" t="n">
        <v>10</v>
      </c>
      <c r="J14" s="11" t="n">
        <v>4.3</v>
      </c>
      <c r="K14" s="11" t="n">
        <v>13.2</v>
      </c>
      <c r="L14" s="7" t="inlineStr">
        <is>
          <t>月度</t>
        </is>
      </c>
    </row>
    <row r="15">
      <c r="A15" s="7" t="inlineStr">
        <is>
          <t>600256</t>
        </is>
      </c>
      <c r="B15" s="7" t="inlineStr">
        <is>
          <t>广汇能源</t>
        </is>
      </c>
      <c r="C15" s="7" t="inlineStr">
        <is>
          <t>LNG</t>
        </is>
      </c>
      <c r="D15" s="11" t="n">
        <v>6</v>
      </c>
      <c r="E15" s="11" t="n">
        <v>6.2</v>
      </c>
      <c r="F15" s="11" t="n">
        <v>7.2</v>
      </c>
      <c r="G15" s="11" t="n">
        <v>5.5</v>
      </c>
      <c r="H15" s="11" t="n">
        <v>10</v>
      </c>
      <c r="I15" s="11" t="n">
        <v>8</v>
      </c>
      <c r="J15" s="11" t="n">
        <v>3.5</v>
      </c>
      <c r="K15" s="11" t="n">
        <v>33.1</v>
      </c>
      <c r="L15" s="7" t="inlineStr">
        <is>
          <t>月度</t>
        </is>
      </c>
    </row>
    <row r="16">
      <c r="A16" s="7" t="inlineStr">
        <is>
          <t>600803</t>
        </is>
      </c>
      <c r="B16" s="7" t="inlineStr">
        <is>
          <t>新奥股份</t>
        </is>
      </c>
      <c r="C16" s="7" t="inlineStr">
        <is>
          <t>LNG</t>
        </is>
      </c>
      <c r="D16" s="11" t="n">
        <v>6</v>
      </c>
      <c r="E16" s="11" t="n">
        <v>19.5</v>
      </c>
      <c r="F16" s="11" t="n">
        <v>22.5</v>
      </c>
      <c r="G16" s="11" t="n">
        <v>18</v>
      </c>
      <c r="H16" s="11" t="n">
        <v>28</v>
      </c>
      <c r="I16" s="11" t="n">
        <v>8</v>
      </c>
      <c r="J16" s="11" t="n">
        <v>3</v>
      </c>
      <c r="K16" s="11" t="n">
        <v>13.7</v>
      </c>
      <c r="L16" s="7" t="inlineStr">
        <is>
          <t>月度</t>
        </is>
      </c>
    </row>
    <row r="17">
      <c r="A17" s="7" t="inlineStr">
        <is>
          <t>601808</t>
        </is>
      </c>
      <c r="B17" s="7" t="inlineStr">
        <is>
          <t>中海油服</t>
        </is>
      </c>
      <c r="C17" s="7" t="inlineStr">
        <is>
          <t>油服</t>
        </is>
      </c>
      <c r="D17" s="11" t="n">
        <v>6</v>
      </c>
      <c r="E17" s="11" t="n">
        <v>16.5</v>
      </c>
      <c r="F17" s="11" t="n">
        <v>18</v>
      </c>
      <c r="G17" s="11" t="n">
        <v>15</v>
      </c>
      <c r="H17" s="11" t="n">
        <v>23</v>
      </c>
      <c r="I17" s="11" t="n">
        <v>8</v>
      </c>
      <c r="J17" s="11" t="n">
        <v>2.1</v>
      </c>
      <c r="K17" s="11" t="n">
        <v>19.4</v>
      </c>
      <c r="L17" s="7" t="inlineStr">
        <is>
          <t>月度</t>
        </is>
      </c>
    </row>
    <row r="18">
      <c r="A18" s="7" t="inlineStr">
        <is>
          <t>002353</t>
        </is>
      </c>
      <c r="B18" s="7" t="inlineStr">
        <is>
          <t>杰瑞股份</t>
        </is>
      </c>
      <c r="C18" s="7" t="inlineStr">
        <is>
          <t>油服</t>
        </is>
      </c>
      <c r="D18" s="11" t="n">
        <v>6</v>
      </c>
      <c r="E18" s="11" t="n">
        <v>90</v>
      </c>
      <c r="F18" s="11" t="n">
        <v>100</v>
      </c>
      <c r="G18" s="11" t="n">
        <v>85</v>
      </c>
      <c r="H18" s="11" t="n">
        <v>125</v>
      </c>
      <c r="I18" s="11" t="n">
        <v>10</v>
      </c>
      <c r="J18" s="11" t="n">
        <v>0.9</v>
      </c>
      <c r="K18" s="11" t="n">
        <v>36.1</v>
      </c>
      <c r="L18" s="7" t="inlineStr">
        <is>
          <t>月度</t>
        </is>
      </c>
    </row>
    <row r="19">
      <c r="A19" s="7" t="inlineStr">
        <is>
          <t>601088</t>
        </is>
      </c>
      <c r="B19" s="7" t="inlineStr">
        <is>
          <t>中国神华</t>
        </is>
      </c>
      <c r="C19" s="7" t="inlineStr">
        <is>
          <t>煤炭化工</t>
        </is>
      </c>
      <c r="D19" s="11" t="n">
        <v>8</v>
      </c>
      <c r="E19" s="11" t="n">
        <v>43</v>
      </c>
      <c r="F19" s="11" t="n">
        <v>47</v>
      </c>
      <c r="G19" s="11" t="n">
        <v>40</v>
      </c>
      <c r="H19" s="11" t="n">
        <v>55</v>
      </c>
      <c r="I19" s="11" t="n">
        <v>10</v>
      </c>
      <c r="J19" s="11" t="n">
        <v>7</v>
      </c>
      <c r="K19" s="11" t="n">
        <v>13</v>
      </c>
      <c r="L19" s="7" t="inlineStr">
        <is>
          <t>月度</t>
        </is>
      </c>
    </row>
    <row r="20">
      <c r="A20" s="7" t="inlineStr">
        <is>
          <t>600426</t>
        </is>
      </c>
      <c r="B20" s="7" t="inlineStr">
        <is>
          <t>华鲁恒升</t>
        </is>
      </c>
      <c r="C20" s="7" t="inlineStr">
        <is>
          <t>煤炭化工</t>
        </is>
      </c>
      <c r="D20" s="11" t="n">
        <v>4</v>
      </c>
      <c r="E20" s="11" t="n">
        <v>36</v>
      </c>
      <c r="F20" s="11" t="n">
        <v>41</v>
      </c>
      <c r="G20" s="11" t="n">
        <v>33</v>
      </c>
      <c r="H20" s="11" t="n">
        <v>48</v>
      </c>
      <c r="I20" s="11" t="n">
        <v>8</v>
      </c>
      <c r="J20" s="11" t="n">
        <v>2.5</v>
      </c>
      <c r="K20" s="11" t="n">
        <v>20</v>
      </c>
      <c r="L20" s="7" t="inlineStr">
        <is>
          <t>月度</t>
        </is>
      </c>
    </row>
    <row r="21">
      <c r="A21" s="7" t="inlineStr">
        <is>
          <t>600406</t>
        </is>
      </c>
      <c r="B21" s="7" t="inlineStr">
        <is>
          <t>国电南瑞</t>
        </is>
      </c>
      <c r="C21" s="7" t="inlineStr">
        <is>
          <t>特高压</t>
        </is>
      </c>
      <c r="D21" s="11" t="n">
        <v>12</v>
      </c>
      <c r="E21" s="11" t="n">
        <v>29</v>
      </c>
      <c r="F21" s="11" t="n">
        <v>31.5</v>
      </c>
      <c r="G21" s="11" t="n">
        <v>27</v>
      </c>
      <c r="H21" s="11" t="n">
        <v>40</v>
      </c>
      <c r="I21" s="11" t="n">
        <v>15</v>
      </c>
      <c r="J21" s="11" t="n">
        <v>2</v>
      </c>
      <c r="K21" s="11" t="n">
        <v>25</v>
      </c>
      <c r="L21" s="7" t="inlineStr">
        <is>
          <t>月度</t>
        </is>
      </c>
    </row>
    <row r="22">
      <c r="A22" s="7" t="inlineStr">
        <is>
          <t>000400</t>
        </is>
      </c>
      <c r="B22" s="7" t="inlineStr">
        <is>
          <t>许继电气</t>
        </is>
      </c>
      <c r="C22" s="7" t="inlineStr">
        <is>
          <t>特高压</t>
        </is>
      </c>
      <c r="D22" s="11" t="n">
        <v>6</v>
      </c>
      <c r="E22" s="11" t="n">
        <v>31</v>
      </c>
      <c r="F22" s="11" t="n">
        <v>35</v>
      </c>
      <c r="G22" s="11" t="n">
        <v>28</v>
      </c>
      <c r="H22" s="11" t="n">
        <v>43</v>
      </c>
      <c r="I22" s="11" t="n">
        <v>8</v>
      </c>
      <c r="J22" s="11" t="n">
        <v>1.5</v>
      </c>
      <c r="K22" s="11" t="n">
        <v>30</v>
      </c>
      <c r="L22" s="7" t="inlineStr">
        <is>
          <t>月度</t>
        </is>
      </c>
    </row>
    <row r="23">
      <c r="A23" s="7" t="inlineStr">
        <is>
          <t>300750</t>
        </is>
      </c>
      <c r="B23" s="7" t="inlineStr">
        <is>
          <t>宁德时代</t>
        </is>
      </c>
      <c r="C23" s="7" t="inlineStr">
        <is>
          <t>新能源</t>
        </is>
      </c>
      <c r="D23" s="11" t="n">
        <v>12</v>
      </c>
      <c r="E23" s="11" t="n">
        <v>380</v>
      </c>
      <c r="F23" s="11" t="n">
        <v>410</v>
      </c>
      <c r="G23" s="11" t="n">
        <v>360</v>
      </c>
      <c r="H23" s="11" t="n">
        <v>500</v>
      </c>
      <c r="I23" s="11" t="n">
        <v>12</v>
      </c>
      <c r="J23" s="11" t="n">
        <v>1</v>
      </c>
      <c r="K23" s="11" t="n">
        <v>28</v>
      </c>
      <c r="L23" s="7" t="inlineStr">
        <is>
          <t>月度</t>
        </is>
      </c>
    </row>
    <row r="24">
      <c r="A24" s="7" t="inlineStr">
        <is>
          <t>300274</t>
        </is>
      </c>
      <c r="B24" s="7" t="inlineStr">
        <is>
          <t>阳光电源</t>
        </is>
      </c>
      <c r="C24" s="7" t="inlineStr">
        <is>
          <t>新能源</t>
        </is>
      </c>
      <c r="D24" s="11" t="n">
        <v>8</v>
      </c>
      <c r="E24" s="11" t="n">
        <v>155</v>
      </c>
      <c r="F24" s="11" t="n">
        <v>170</v>
      </c>
      <c r="G24" s="11" t="n">
        <v>145</v>
      </c>
      <c r="H24" s="11" t="n">
        <v>210</v>
      </c>
      <c r="I24" s="11" t="n">
        <v>12</v>
      </c>
      <c r="J24" s="11" t="n">
        <v>1.2</v>
      </c>
      <c r="K24" s="11" t="n">
        <v>22</v>
      </c>
      <c r="L24" s="7" t="inlineStr">
        <is>
          <t>月度</t>
        </is>
      </c>
    </row>
    <row r="25">
      <c r="A25" s="7" t="inlineStr">
        <is>
          <t>601899</t>
        </is>
      </c>
      <c r="B25" s="7" t="inlineStr">
        <is>
          <t>紫金矿业</t>
        </is>
      </c>
      <c r="C25" s="7" t="inlineStr">
        <is>
          <t>黄金</t>
        </is>
      </c>
      <c r="D25" s="11" t="n">
        <v>10</v>
      </c>
      <c r="E25" s="11" t="n">
        <v>30</v>
      </c>
      <c r="F25" s="11" t="n">
        <v>34</v>
      </c>
      <c r="G25" s="11" t="n">
        <v>28</v>
      </c>
      <c r="H25" s="11" t="n">
        <v>43</v>
      </c>
      <c r="I25" s="11" t="n">
        <v>12</v>
      </c>
      <c r="J25" s="11" t="n">
        <v>2.5</v>
      </c>
      <c r="K25" s="11" t="n">
        <v>17.3</v>
      </c>
      <c r="L25" s="7" t="inlineStr">
        <is>
          <t>月度</t>
        </is>
      </c>
    </row>
    <row r="26">
      <c r="A26" s="7" t="inlineStr">
        <is>
          <t>600489</t>
        </is>
      </c>
      <c r="B26" s="7" t="inlineStr">
        <is>
          <t>中金黄金</t>
        </is>
      </c>
      <c r="C26" s="7" t="inlineStr">
        <is>
          <t>黄金</t>
        </is>
      </c>
      <c r="D26" s="11" t="n">
        <v>8</v>
      </c>
      <c r="E26" s="11" t="n">
        <v>24.5</v>
      </c>
      <c r="F26" s="11" t="n">
        <v>27.5</v>
      </c>
      <c r="G26" s="11" t="n">
        <v>22.5</v>
      </c>
      <c r="H26" s="11" t="n">
        <v>34</v>
      </c>
      <c r="I26" s="11" t="n">
        <v>10</v>
      </c>
      <c r="J26" s="11" t="n">
        <v>3.8</v>
      </c>
      <c r="K26" s="11" t="n">
        <v>30</v>
      </c>
      <c r="L26" s="7" t="inlineStr">
        <is>
          <t>月度</t>
        </is>
      </c>
    </row>
    <row r="27">
      <c r="A27" s="7" t="inlineStr">
        <is>
          <t>600760</t>
        </is>
      </c>
      <c r="B27" s="7" t="inlineStr">
        <is>
          <t>中航沈飞</t>
        </is>
      </c>
      <c r="C27" s="7" t="inlineStr">
        <is>
          <t>军工</t>
        </is>
      </c>
      <c r="D27" s="11" t="n">
        <v>8</v>
      </c>
      <c r="E27" s="11" t="n">
        <v>48</v>
      </c>
      <c r="F27" s="11" t="n">
        <v>50.5</v>
      </c>
      <c r="G27" s="11" t="n">
        <v>45</v>
      </c>
      <c r="H27" s="11" t="n">
        <v>65</v>
      </c>
      <c r="I27" s="11" t="n">
        <v>10</v>
      </c>
      <c r="J27" s="11" t="n">
        <v>1.2</v>
      </c>
      <c r="K27" s="11" t="n">
        <v>45</v>
      </c>
      <c r="L27" s="7" t="inlineStr">
        <is>
          <t>月度</t>
        </is>
      </c>
    </row>
    <row r="28">
      <c r="A28" s="7" t="inlineStr">
        <is>
          <t>002179</t>
        </is>
      </c>
      <c r="B28" s="7" t="inlineStr">
        <is>
          <t>中航光电</t>
        </is>
      </c>
      <c r="C28" s="7" t="inlineStr">
        <is>
          <t>军工</t>
        </is>
      </c>
      <c r="D28" s="11" t="n">
        <v>7</v>
      </c>
      <c r="E28" s="11" t="n">
        <v>33</v>
      </c>
      <c r="F28" s="11" t="n">
        <v>35.5</v>
      </c>
      <c r="G28" s="11" t="n">
        <v>30</v>
      </c>
      <c r="H28" s="11" t="n">
        <v>45</v>
      </c>
      <c r="I28" s="11" t="n">
        <v>8</v>
      </c>
      <c r="J28" s="11" t="n">
        <v>2.2</v>
      </c>
      <c r="K28" s="11" t="n">
        <v>29</v>
      </c>
      <c r="L28" s="7" t="inlineStr">
        <is>
          <t>月度</t>
        </is>
      </c>
    </row>
    <row r="29">
      <c r="A29" s="7" t="inlineStr">
        <is>
          <t>603019</t>
        </is>
      </c>
      <c r="B29" s="7" t="inlineStr">
        <is>
          <t>中科曙光</t>
        </is>
      </c>
      <c r="C29" s="7" t="inlineStr">
        <is>
          <t>政策方向</t>
        </is>
      </c>
      <c r="D29" s="11" t="n">
        <v>8</v>
      </c>
      <c r="E29" s="11" t="n">
        <v>80</v>
      </c>
      <c r="F29" s="11" t="n">
        <v>85</v>
      </c>
      <c r="G29" s="11" t="n">
        <v>75</v>
      </c>
      <c r="H29" s="11" t="n">
        <v>110</v>
      </c>
      <c r="I29" s="11" t="n">
        <v>10</v>
      </c>
      <c r="J29" s="11" t="n">
        <v>0.8</v>
      </c>
      <c r="K29" s="11" t="n">
        <v>60</v>
      </c>
      <c r="L29" s="7" t="inlineStr">
        <is>
          <t>月度</t>
        </is>
      </c>
    </row>
    <row r="30">
      <c r="A30" s="7" t="inlineStr">
        <is>
          <t>600536</t>
        </is>
      </c>
      <c r="B30" s="7" t="inlineStr">
        <is>
          <t>中国软件</t>
        </is>
      </c>
      <c r="C30" s="7" t="inlineStr">
        <is>
          <t>政策方向</t>
        </is>
      </c>
      <c r="D30" s="11" t="n">
        <v>4</v>
      </c>
      <c r="E30" s="11" t="n">
        <v>42</v>
      </c>
      <c r="F30" s="11" t="n">
        <v>48</v>
      </c>
      <c r="G30" s="11" t="n">
        <v>38</v>
      </c>
      <c r="H30" s="11" t="n">
        <v>60</v>
      </c>
      <c r="I30" s="11" t="n">
        <v>8</v>
      </c>
      <c r="J30" s="11" t="n">
        <v>0.5</v>
      </c>
      <c r="K30" s="11" t="n">
        <v>80</v>
      </c>
      <c r="L30" s="7" t="inlineStr">
        <is>
          <t>月度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10" customWidth="1" min="20" max="20"/>
    <col width="20" customWidth="1" min="21" max="21"/>
  </cols>
  <sheetData>
    <row r="1">
      <c r="A1" s="10" t="inlineStr">
        <is>
          <t>股票代码</t>
        </is>
      </c>
      <c r="B1" s="10" t="inlineStr">
        <is>
          <t>股票名称</t>
        </is>
      </c>
      <c r="C1" s="10" t="inlineStr">
        <is>
          <t>所属板块</t>
        </is>
      </c>
      <c r="D1" s="10" t="inlineStr">
        <is>
          <t>目标仓位%</t>
        </is>
      </c>
      <c r="E1" s="10" t="inlineStr">
        <is>
          <t>持仓数量</t>
        </is>
      </c>
      <c r="F1" s="10" t="inlineStr">
        <is>
          <t>持仓成本</t>
        </is>
      </c>
      <c r="G1" s="10" t="inlineStr">
        <is>
          <t>当前股价</t>
        </is>
      </c>
      <c r="H1" s="10" t="inlineStr">
        <is>
          <t>持仓市值</t>
        </is>
      </c>
      <c r="I1" s="10" t="inlineStr">
        <is>
          <t>实际仓位%</t>
        </is>
      </c>
      <c r="J1" s="10" t="inlineStr">
        <is>
          <t>浮动盈亏</t>
        </is>
      </c>
      <c r="K1" s="10" t="inlineStr">
        <is>
          <t>盈亏比例%</t>
        </is>
      </c>
      <c r="L1" s="10" t="inlineStr">
        <is>
          <t>入场下限</t>
        </is>
      </c>
      <c r="M1" s="10" t="inlineStr">
        <is>
          <t>入场上限</t>
        </is>
      </c>
      <c r="N1" s="10" t="inlineStr">
        <is>
          <t>止损价</t>
        </is>
      </c>
      <c r="O1" s="10" t="inlineStr">
        <is>
          <t>目标价</t>
        </is>
      </c>
      <c r="P1" s="10" t="inlineStr">
        <is>
          <t>股息率%</t>
        </is>
      </c>
      <c r="Q1" s="10" t="inlineStr">
        <is>
          <t>PE(TTM)</t>
        </is>
      </c>
      <c r="R1" s="10" t="inlineStr">
        <is>
          <t>技术信号</t>
        </is>
      </c>
      <c r="S1" s="10" t="inlineStr">
        <is>
          <t>基本面评级</t>
        </is>
      </c>
      <c r="T1" s="10" t="inlineStr">
        <is>
          <t>操作建议</t>
        </is>
      </c>
      <c r="U1" s="10" t="inlineStr">
        <is>
          <t>备注</t>
        </is>
      </c>
    </row>
    <row r="2">
      <c r="A2" s="7" t="inlineStr">
        <is>
          <t>600938</t>
        </is>
      </c>
      <c r="B2" s="7" t="inlineStr">
        <is>
          <t>中国海油</t>
        </is>
      </c>
      <c r="C2" s="7" t="inlineStr">
        <is>
          <t>上游油气</t>
        </is>
      </c>
      <c r="D2" s="7" t="n">
        <v>10</v>
      </c>
      <c r="E2" s="7" t="n">
        <v>0</v>
      </c>
      <c r="F2" s="7" t="n">
        <v>0</v>
      </c>
      <c r="G2" s="7" t="n">
        <v>42.24</v>
      </c>
      <c r="H2" s="7">
        <f>E2*G2</f>
        <v/>
      </c>
      <c r="I2" s="7">
        <f>H2/'01 组合概览'!$B$2</f>
        <v/>
      </c>
      <c r="J2" s="12">
        <f>(G2-F2)*E2</f>
        <v/>
      </c>
      <c r="K2" s="12">
        <f>(G2-F2)/F2</f>
        <v/>
      </c>
      <c r="L2" s="7" t="n">
        <v>38.5</v>
      </c>
      <c r="M2" s="7" t="n">
        <v>40.5</v>
      </c>
      <c r="N2" s="7" t="n">
        <v>36</v>
      </c>
      <c r="O2" s="7" t="n">
        <v>52</v>
      </c>
      <c r="P2" s="7" t="n">
        <v>5.2</v>
      </c>
      <c r="Q2" s="7" t="n">
        <v>14.4</v>
      </c>
      <c r="R2" s="7" t="inlineStr">
        <is>
          <t>观望</t>
        </is>
      </c>
      <c r="S2" s="7" t="inlineStr">
        <is>
          <t>良好</t>
        </is>
      </c>
      <c r="T2" s="7" t="inlineStr">
        <is>
          <t>持有</t>
        </is>
      </c>
      <c r="U2" s="7" t="inlineStr"/>
    </row>
    <row r="3">
      <c r="A3" s="7" t="inlineStr">
        <is>
          <t>601857</t>
        </is>
      </c>
      <c r="B3" s="7" t="inlineStr">
        <is>
          <t>中国石油</t>
        </is>
      </c>
      <c r="C3" s="7" t="inlineStr">
        <is>
          <t>上游油气</t>
        </is>
      </c>
      <c r="D3" s="7" t="n">
        <v>8</v>
      </c>
      <c r="E3" s="7" t="n">
        <v>0</v>
      </c>
      <c r="F3" s="7" t="n">
        <v>0</v>
      </c>
      <c r="G3" s="7" t="n">
        <v>12.5</v>
      </c>
      <c r="H3" s="7">
        <f>E3*G3</f>
        <v/>
      </c>
      <c r="I3" s="7">
        <f>H3/'01 组合概览'!$B$2</f>
        <v/>
      </c>
      <c r="J3" s="12">
        <f>(G3-F3)*E3</f>
        <v/>
      </c>
      <c r="K3" s="12">
        <f>(G3-F3)/F3</f>
        <v/>
      </c>
      <c r="L3" s="7" t="n">
        <v>11.8</v>
      </c>
      <c r="M3" s="7" t="n">
        <v>12.8</v>
      </c>
      <c r="N3" s="7" t="n">
        <v>10.8</v>
      </c>
      <c r="O3" s="7" t="n">
        <v>16</v>
      </c>
      <c r="P3" s="7" t="n">
        <v>4.3</v>
      </c>
      <c r="Q3" s="7" t="n">
        <v>13.2</v>
      </c>
      <c r="R3" s="7" t="inlineStr">
        <is>
          <t>观望</t>
        </is>
      </c>
      <c r="S3" s="7" t="inlineStr">
        <is>
          <t>良好</t>
        </is>
      </c>
      <c r="T3" s="7" t="inlineStr">
        <is>
          <t>持有</t>
        </is>
      </c>
      <c r="U3" s="7" t="inlineStr"/>
    </row>
    <row r="4">
      <c r="A4" s="7" t="inlineStr">
        <is>
          <t>600256</t>
        </is>
      </c>
      <c r="B4" s="7" t="inlineStr">
        <is>
          <t>广汇能源</t>
        </is>
      </c>
      <c r="C4" s="7" t="inlineStr">
        <is>
          <t>LNG</t>
        </is>
      </c>
      <c r="D4" s="7" t="n">
        <v>6</v>
      </c>
      <c r="E4" s="7" t="n">
        <v>0</v>
      </c>
      <c r="F4" s="7" t="n">
        <v>0</v>
      </c>
      <c r="G4" s="7" t="n">
        <v>7</v>
      </c>
      <c r="H4" s="7">
        <f>E4*G4</f>
        <v/>
      </c>
      <c r="I4" s="7">
        <f>H4/'01 组合概览'!$B$2</f>
        <v/>
      </c>
      <c r="J4" s="12">
        <f>(G4-F4)*E4</f>
        <v/>
      </c>
      <c r="K4" s="12">
        <f>(G4-F4)/F4</f>
        <v/>
      </c>
      <c r="L4" s="7" t="n">
        <v>6.2</v>
      </c>
      <c r="M4" s="7" t="n">
        <v>7.2</v>
      </c>
      <c r="N4" s="7" t="n">
        <v>5.5</v>
      </c>
      <c r="O4" s="7" t="n">
        <v>10</v>
      </c>
      <c r="P4" s="7" t="n">
        <v>3.5</v>
      </c>
      <c r="Q4" s="7" t="n">
        <v>33.1</v>
      </c>
      <c r="R4" s="7" t="inlineStr">
        <is>
          <t>观望</t>
        </is>
      </c>
      <c r="S4" s="7" t="inlineStr">
        <is>
          <t>良好</t>
        </is>
      </c>
      <c r="T4" s="7" t="inlineStr">
        <is>
          <t>持有</t>
        </is>
      </c>
      <c r="U4" s="7" t="inlineStr"/>
    </row>
    <row r="5">
      <c r="A5" s="7" t="inlineStr">
        <is>
          <t>600803</t>
        </is>
      </c>
      <c r="B5" s="7" t="inlineStr">
        <is>
          <t>新奥股份</t>
        </is>
      </c>
      <c r="C5" s="7" t="inlineStr">
        <is>
          <t>LNG</t>
        </is>
      </c>
      <c r="D5" s="7" t="n">
        <v>6</v>
      </c>
      <c r="E5" s="7" t="n">
        <v>0</v>
      </c>
      <c r="F5" s="7" t="n">
        <v>0</v>
      </c>
      <c r="G5" s="7" t="n">
        <v>22</v>
      </c>
      <c r="H5" s="7">
        <f>E5*G5</f>
        <v/>
      </c>
      <c r="I5" s="7">
        <f>H5/'01 组合概览'!$B$2</f>
        <v/>
      </c>
      <c r="J5" s="12">
        <f>(G5-F5)*E5</f>
        <v/>
      </c>
      <c r="K5" s="12">
        <f>(G5-F5)/F5</f>
        <v/>
      </c>
      <c r="L5" s="7" t="n">
        <v>19.5</v>
      </c>
      <c r="M5" s="7" t="n">
        <v>22.5</v>
      </c>
      <c r="N5" s="7" t="n">
        <v>18</v>
      </c>
      <c r="O5" s="7" t="n">
        <v>28</v>
      </c>
      <c r="P5" s="7" t="n">
        <v>3</v>
      </c>
      <c r="Q5" s="7" t="n">
        <v>13.7</v>
      </c>
      <c r="R5" s="7" t="inlineStr">
        <is>
          <t>观望</t>
        </is>
      </c>
      <c r="S5" s="7" t="inlineStr">
        <is>
          <t>良好</t>
        </is>
      </c>
      <c r="T5" s="7" t="inlineStr">
        <is>
          <t>持有</t>
        </is>
      </c>
      <c r="U5" s="7" t="inlineStr"/>
    </row>
    <row r="6">
      <c r="A6" s="7" t="inlineStr">
        <is>
          <t>601808</t>
        </is>
      </c>
      <c r="B6" s="7" t="inlineStr">
        <is>
          <t>中海油服</t>
        </is>
      </c>
      <c r="C6" s="7" t="inlineStr">
        <is>
          <t>油服</t>
        </is>
      </c>
      <c r="D6" s="7" t="n">
        <v>6</v>
      </c>
      <c r="E6" s="7" t="n">
        <v>0</v>
      </c>
      <c r="F6" s="7" t="n">
        <v>0</v>
      </c>
      <c r="G6" s="7" t="n">
        <v>17.4</v>
      </c>
      <c r="H6" s="7">
        <f>E6*G6</f>
        <v/>
      </c>
      <c r="I6" s="7">
        <f>H6/'01 组合概览'!$B$2</f>
        <v/>
      </c>
      <c r="J6" s="12">
        <f>(G6-F6)*E6</f>
        <v/>
      </c>
      <c r="K6" s="12">
        <f>(G6-F6)/F6</f>
        <v/>
      </c>
      <c r="L6" s="7" t="n">
        <v>16.5</v>
      </c>
      <c r="M6" s="7" t="n">
        <v>18</v>
      </c>
      <c r="N6" s="7" t="n">
        <v>15</v>
      </c>
      <c r="O6" s="7" t="n">
        <v>23</v>
      </c>
      <c r="P6" s="7" t="n">
        <v>2.1</v>
      </c>
      <c r="Q6" s="7" t="n">
        <v>19.4</v>
      </c>
      <c r="R6" s="7" t="inlineStr">
        <is>
          <t>观望</t>
        </is>
      </c>
      <c r="S6" s="7" t="inlineStr">
        <is>
          <t>良好</t>
        </is>
      </c>
      <c r="T6" s="7" t="inlineStr">
        <is>
          <t>持有</t>
        </is>
      </c>
      <c r="U6" s="7" t="inlineStr"/>
    </row>
    <row r="7">
      <c r="A7" s="7" t="inlineStr">
        <is>
          <t>002353</t>
        </is>
      </c>
      <c r="B7" s="7" t="inlineStr">
        <is>
          <t>杰瑞股份</t>
        </is>
      </c>
      <c r="C7" s="7" t="inlineStr">
        <is>
          <t>油服</t>
        </is>
      </c>
      <c r="D7" s="7" t="n">
        <v>6</v>
      </c>
      <c r="E7" s="7" t="n">
        <v>0</v>
      </c>
      <c r="F7" s="7" t="n">
        <v>0</v>
      </c>
      <c r="G7" s="7" t="n">
        <v>99</v>
      </c>
      <c r="H7" s="7">
        <f>E7*G7</f>
        <v/>
      </c>
      <c r="I7" s="7">
        <f>H7/'01 组合概览'!$B$2</f>
        <v/>
      </c>
      <c r="J7" s="12">
        <f>(G7-F7)*E7</f>
        <v/>
      </c>
      <c r="K7" s="12">
        <f>(G7-F7)/F7</f>
        <v/>
      </c>
      <c r="L7" s="7" t="n">
        <v>90</v>
      </c>
      <c r="M7" s="7" t="n">
        <v>100</v>
      </c>
      <c r="N7" s="7" t="n">
        <v>85</v>
      </c>
      <c r="O7" s="7" t="n">
        <v>125</v>
      </c>
      <c r="P7" s="7" t="n">
        <v>0.9</v>
      </c>
      <c r="Q7" s="7" t="n">
        <v>36.1</v>
      </c>
      <c r="R7" s="7" t="inlineStr">
        <is>
          <t>观望</t>
        </is>
      </c>
      <c r="S7" s="7" t="inlineStr">
        <is>
          <t>良好</t>
        </is>
      </c>
      <c r="T7" s="7" t="inlineStr">
        <is>
          <t>持有</t>
        </is>
      </c>
      <c r="U7" s="7" t="inlineStr"/>
    </row>
    <row r="8">
      <c r="A8" s="7" t="inlineStr">
        <is>
          <t>601088</t>
        </is>
      </c>
      <c r="B8" s="7" t="inlineStr">
        <is>
          <t>中国神华</t>
        </is>
      </c>
      <c r="C8" s="7" t="inlineStr">
        <is>
          <t>煤炭化工</t>
        </is>
      </c>
      <c r="D8" s="7" t="n">
        <v>8</v>
      </c>
      <c r="E8" s="7" t="n">
        <v>0</v>
      </c>
      <c r="F8" s="7" t="n">
        <v>0</v>
      </c>
      <c r="G8" s="7" t="n">
        <v>46</v>
      </c>
      <c r="H8" s="7">
        <f>E8*G8</f>
        <v/>
      </c>
      <c r="I8" s="7">
        <f>H8/'01 组合概览'!$B$2</f>
        <v/>
      </c>
      <c r="J8" s="12">
        <f>(G8-F8)*E8</f>
        <v/>
      </c>
      <c r="K8" s="12">
        <f>(G8-F8)/F8</f>
        <v/>
      </c>
      <c r="L8" s="7" t="n">
        <v>43</v>
      </c>
      <c r="M8" s="7" t="n">
        <v>47</v>
      </c>
      <c r="N8" s="7" t="n">
        <v>40</v>
      </c>
      <c r="O8" s="7" t="n">
        <v>55</v>
      </c>
      <c r="P8" s="7" t="n">
        <v>7</v>
      </c>
      <c r="Q8" s="7" t="n">
        <v>13</v>
      </c>
      <c r="R8" s="7" t="inlineStr">
        <is>
          <t>观望</t>
        </is>
      </c>
      <c r="S8" s="7" t="inlineStr">
        <is>
          <t>良好</t>
        </is>
      </c>
      <c r="T8" s="7" t="inlineStr">
        <is>
          <t>持有</t>
        </is>
      </c>
      <c r="U8" s="7" t="inlineStr"/>
    </row>
    <row r="9">
      <c r="A9" s="7" t="inlineStr">
        <is>
          <t>600426</t>
        </is>
      </c>
      <c r="B9" s="7" t="inlineStr">
        <is>
          <t>华鲁恒升</t>
        </is>
      </c>
      <c r="C9" s="7" t="inlineStr">
        <is>
          <t>煤炭化工</t>
        </is>
      </c>
      <c r="D9" s="7" t="n">
        <v>4</v>
      </c>
      <c r="E9" s="7" t="n">
        <v>0</v>
      </c>
      <c r="F9" s="7" t="n">
        <v>0</v>
      </c>
      <c r="G9" s="7" t="n">
        <v>35.6</v>
      </c>
      <c r="H9" s="7">
        <f>E9*G9</f>
        <v/>
      </c>
      <c r="I9" s="7">
        <f>H9/'01 组合概览'!$B$2</f>
        <v/>
      </c>
      <c r="J9" s="12">
        <f>(G9-F9)*E9</f>
        <v/>
      </c>
      <c r="K9" s="12">
        <f>(G9-F9)/F9</f>
        <v/>
      </c>
      <c r="L9" s="7" t="n">
        <v>36</v>
      </c>
      <c r="M9" s="7" t="n">
        <v>41</v>
      </c>
      <c r="N9" s="7" t="n">
        <v>33</v>
      </c>
      <c r="O9" s="7" t="n">
        <v>48</v>
      </c>
      <c r="P9" s="7" t="n">
        <v>2.5</v>
      </c>
      <c r="Q9" s="7" t="n">
        <v>20</v>
      </c>
      <c r="R9" s="7" t="inlineStr">
        <is>
          <t>观望</t>
        </is>
      </c>
      <c r="S9" s="7" t="inlineStr">
        <is>
          <t>良好</t>
        </is>
      </c>
      <c r="T9" s="7" t="inlineStr">
        <is>
          <t>持有</t>
        </is>
      </c>
      <c r="U9" s="7" t="inlineStr"/>
    </row>
    <row r="10">
      <c r="A10" s="7" t="inlineStr">
        <is>
          <t>600406</t>
        </is>
      </c>
      <c r="B10" s="7" t="inlineStr">
        <is>
          <t>国电南瑞</t>
        </is>
      </c>
      <c r="C10" s="7" t="inlineStr">
        <is>
          <t>特高压</t>
        </is>
      </c>
      <c r="D10" s="7" t="n">
        <v>12</v>
      </c>
      <c r="E10" s="7" t="n">
        <v>0</v>
      </c>
      <c r="F10" s="7" t="n">
        <v>0</v>
      </c>
      <c r="G10" s="7" t="n">
        <v>30.7</v>
      </c>
      <c r="H10" s="7">
        <f>E10*G10</f>
        <v/>
      </c>
      <c r="I10" s="7">
        <f>H10/'01 组合概览'!$B$2</f>
        <v/>
      </c>
      <c r="J10" s="12">
        <f>(G10-F10)*E10</f>
        <v/>
      </c>
      <c r="K10" s="12">
        <f>(G10-F10)/F10</f>
        <v/>
      </c>
      <c r="L10" s="7" t="n">
        <v>29</v>
      </c>
      <c r="M10" s="7" t="n">
        <v>31.5</v>
      </c>
      <c r="N10" s="7" t="n">
        <v>27</v>
      </c>
      <c r="O10" s="7" t="n">
        <v>40</v>
      </c>
      <c r="P10" s="7" t="n">
        <v>2</v>
      </c>
      <c r="Q10" s="7" t="n">
        <v>25</v>
      </c>
      <c r="R10" s="7" t="inlineStr">
        <is>
          <t>观望</t>
        </is>
      </c>
      <c r="S10" s="7" t="inlineStr">
        <is>
          <t>良好</t>
        </is>
      </c>
      <c r="T10" s="7" t="inlineStr">
        <is>
          <t>持有</t>
        </is>
      </c>
      <c r="U10" s="7" t="inlineStr"/>
    </row>
    <row r="11">
      <c r="A11" s="7" t="inlineStr">
        <is>
          <t>000400</t>
        </is>
      </c>
      <c r="B11" s="7" t="inlineStr">
        <is>
          <t>许继电气</t>
        </is>
      </c>
      <c r="C11" s="7" t="inlineStr">
        <is>
          <t>特高压</t>
        </is>
      </c>
      <c r="D11" s="7" t="n">
        <v>6</v>
      </c>
      <c r="E11" s="7" t="n">
        <v>0</v>
      </c>
      <c r="F11" s="7" t="n">
        <v>0</v>
      </c>
      <c r="G11" s="7" t="n">
        <v>33.6</v>
      </c>
      <c r="H11" s="7">
        <f>E11*G11</f>
        <v/>
      </c>
      <c r="I11" s="7">
        <f>H11/'01 组合概览'!$B$2</f>
        <v/>
      </c>
      <c r="J11" s="12">
        <f>(G11-F11)*E11</f>
        <v/>
      </c>
      <c r="K11" s="12">
        <f>(G11-F11)/F11</f>
        <v/>
      </c>
      <c r="L11" s="7" t="n">
        <v>31</v>
      </c>
      <c r="M11" s="7" t="n">
        <v>35</v>
      </c>
      <c r="N11" s="7" t="n">
        <v>28</v>
      </c>
      <c r="O11" s="7" t="n">
        <v>43</v>
      </c>
      <c r="P11" s="7" t="n">
        <v>1.5</v>
      </c>
      <c r="Q11" s="7" t="n">
        <v>30</v>
      </c>
      <c r="R11" s="7" t="inlineStr">
        <is>
          <t>观望</t>
        </is>
      </c>
      <c r="S11" s="7" t="inlineStr">
        <is>
          <t>良好</t>
        </is>
      </c>
      <c r="T11" s="7" t="inlineStr">
        <is>
          <t>持有</t>
        </is>
      </c>
      <c r="U11" s="7" t="inlineStr"/>
    </row>
    <row r="12">
      <c r="A12" s="7" t="inlineStr">
        <is>
          <t>300750</t>
        </is>
      </c>
      <c r="B12" s="7" t="inlineStr">
        <is>
          <t>宁德时代</t>
        </is>
      </c>
      <c r="C12" s="7" t="inlineStr">
        <is>
          <t>新能源</t>
        </is>
      </c>
      <c r="D12" s="7" t="n">
        <v>12</v>
      </c>
      <c r="E12" s="7" t="n">
        <v>0</v>
      </c>
      <c r="F12" s="7" t="n">
        <v>0</v>
      </c>
      <c r="G12" s="7" t="n">
        <v>400.5</v>
      </c>
      <c r="H12" s="7">
        <f>E12*G12</f>
        <v/>
      </c>
      <c r="I12" s="7">
        <f>H12/'01 组合概览'!$B$2</f>
        <v/>
      </c>
      <c r="J12" s="12">
        <f>(G12-F12)*E12</f>
        <v/>
      </c>
      <c r="K12" s="12">
        <f>(G12-F12)/F12</f>
        <v/>
      </c>
      <c r="L12" s="7" t="n">
        <v>380</v>
      </c>
      <c r="M12" s="7" t="n">
        <v>410</v>
      </c>
      <c r="N12" s="7" t="n">
        <v>360</v>
      </c>
      <c r="O12" s="7" t="n">
        <v>500</v>
      </c>
      <c r="P12" s="7" t="n">
        <v>1</v>
      </c>
      <c r="Q12" s="7" t="n">
        <v>28</v>
      </c>
      <c r="R12" s="7" t="inlineStr">
        <is>
          <t>观望</t>
        </is>
      </c>
      <c r="S12" s="7" t="inlineStr">
        <is>
          <t>良好</t>
        </is>
      </c>
      <c r="T12" s="7" t="inlineStr">
        <is>
          <t>持有</t>
        </is>
      </c>
      <c r="U12" s="7" t="inlineStr"/>
    </row>
    <row r="13">
      <c r="A13" s="7" t="inlineStr">
        <is>
          <t>300274</t>
        </is>
      </c>
      <c r="B13" s="7" t="inlineStr">
        <is>
          <t>阳光电源</t>
        </is>
      </c>
      <c r="C13" s="7" t="inlineStr">
        <is>
          <t>新能源</t>
        </is>
      </c>
      <c r="D13" s="7" t="n">
        <v>8</v>
      </c>
      <c r="E13" s="7" t="n">
        <v>0</v>
      </c>
      <c r="F13" s="7" t="n">
        <v>0</v>
      </c>
      <c r="G13" s="7" t="n">
        <v>165.1</v>
      </c>
      <c r="H13" s="7">
        <f>E13*G13</f>
        <v/>
      </c>
      <c r="I13" s="7">
        <f>H13/'01 组合概览'!$B$2</f>
        <v/>
      </c>
      <c r="J13" s="12">
        <f>(G13-F13)*E13</f>
        <v/>
      </c>
      <c r="K13" s="12">
        <f>(G13-F13)/F13</f>
        <v/>
      </c>
      <c r="L13" s="7" t="n">
        <v>155</v>
      </c>
      <c r="M13" s="7" t="n">
        <v>170</v>
      </c>
      <c r="N13" s="7" t="n">
        <v>145</v>
      </c>
      <c r="O13" s="7" t="n">
        <v>210</v>
      </c>
      <c r="P13" s="7" t="n">
        <v>1.2</v>
      </c>
      <c r="Q13" s="7" t="n">
        <v>22</v>
      </c>
      <c r="R13" s="7" t="inlineStr">
        <is>
          <t>观望</t>
        </is>
      </c>
      <c r="S13" s="7" t="inlineStr">
        <is>
          <t>良好</t>
        </is>
      </c>
      <c r="T13" s="7" t="inlineStr">
        <is>
          <t>持有</t>
        </is>
      </c>
      <c r="U13" s="7" t="inlineStr"/>
    </row>
    <row r="14">
      <c r="A14" s="7" t="inlineStr">
        <is>
          <t>601899</t>
        </is>
      </c>
      <c r="B14" s="7" t="inlineStr">
        <is>
          <t>紫金矿业</t>
        </is>
      </c>
      <c r="C14" s="7" t="inlineStr">
        <is>
          <t>黄金</t>
        </is>
      </c>
      <c r="D14" s="7" t="n">
        <v>10</v>
      </c>
      <c r="E14" s="7" t="n">
        <v>0</v>
      </c>
      <c r="F14" s="7" t="n">
        <v>0</v>
      </c>
      <c r="G14" s="7" t="n">
        <v>32.4</v>
      </c>
      <c r="H14" s="7">
        <f>E14*G14</f>
        <v/>
      </c>
      <c r="I14" s="7">
        <f>H14/'01 组合概览'!$B$2</f>
        <v/>
      </c>
      <c r="J14" s="12">
        <f>(G14-F14)*E14</f>
        <v/>
      </c>
      <c r="K14" s="12">
        <f>(G14-F14)/F14</f>
        <v/>
      </c>
      <c r="L14" s="7" t="n">
        <v>30</v>
      </c>
      <c r="M14" s="7" t="n">
        <v>34</v>
      </c>
      <c r="N14" s="7" t="n">
        <v>28</v>
      </c>
      <c r="O14" s="7" t="n">
        <v>43</v>
      </c>
      <c r="P14" s="7" t="n">
        <v>2.5</v>
      </c>
      <c r="Q14" s="7" t="n">
        <v>17.3</v>
      </c>
      <c r="R14" s="7" t="inlineStr">
        <is>
          <t>观望</t>
        </is>
      </c>
      <c r="S14" s="7" t="inlineStr">
        <is>
          <t>良好</t>
        </is>
      </c>
      <c r="T14" s="7" t="inlineStr">
        <is>
          <t>持有</t>
        </is>
      </c>
      <c r="U14" s="7" t="inlineStr"/>
    </row>
    <row r="15">
      <c r="A15" s="7" t="inlineStr">
        <is>
          <t>600489</t>
        </is>
      </c>
      <c r="B15" s="7" t="inlineStr">
        <is>
          <t>中金黄金</t>
        </is>
      </c>
      <c r="C15" s="7" t="inlineStr">
        <is>
          <t>黄金</t>
        </is>
      </c>
      <c r="D15" s="7" t="n">
        <v>8</v>
      </c>
      <c r="E15" s="7" t="n">
        <v>0</v>
      </c>
      <c r="F15" s="7" t="n">
        <v>0</v>
      </c>
      <c r="G15" s="7" t="n">
        <v>26.7</v>
      </c>
      <c r="H15" s="7">
        <f>E15*G15</f>
        <v/>
      </c>
      <c r="I15" s="7">
        <f>H15/'01 组合概览'!$B$2</f>
        <v/>
      </c>
      <c r="J15" s="12">
        <f>(G15-F15)*E15</f>
        <v/>
      </c>
      <c r="K15" s="12">
        <f>(G15-F15)/F15</f>
        <v/>
      </c>
      <c r="L15" s="7" t="n">
        <v>24.5</v>
      </c>
      <c r="M15" s="7" t="n">
        <v>27.5</v>
      </c>
      <c r="N15" s="7" t="n">
        <v>22.5</v>
      </c>
      <c r="O15" s="7" t="n">
        <v>34</v>
      </c>
      <c r="P15" s="7" t="n">
        <v>3.8</v>
      </c>
      <c r="Q15" s="7" t="n">
        <v>30</v>
      </c>
      <c r="R15" s="7" t="inlineStr">
        <is>
          <t>观望</t>
        </is>
      </c>
      <c r="S15" s="7" t="inlineStr">
        <is>
          <t>良好</t>
        </is>
      </c>
      <c r="T15" s="7" t="inlineStr">
        <is>
          <t>持有</t>
        </is>
      </c>
      <c r="U15" s="7" t="inlineStr"/>
    </row>
    <row r="16">
      <c r="A16" s="7" t="inlineStr">
        <is>
          <t>600760</t>
        </is>
      </c>
      <c r="B16" s="7" t="inlineStr">
        <is>
          <t>中航沈飞</t>
        </is>
      </c>
      <c r="C16" s="7" t="inlineStr">
        <is>
          <t>军工</t>
        </is>
      </c>
      <c r="D16" s="7" t="n">
        <v>8</v>
      </c>
      <c r="E16" s="7" t="n">
        <v>0</v>
      </c>
      <c r="F16" s="7" t="n">
        <v>0</v>
      </c>
      <c r="G16" s="7" t="n">
        <v>50.87</v>
      </c>
      <c r="H16" s="7">
        <f>E16*G16</f>
        <v/>
      </c>
      <c r="I16" s="7">
        <f>H16/'01 组合概览'!$B$2</f>
        <v/>
      </c>
      <c r="J16" s="12">
        <f>(G16-F16)*E16</f>
        <v/>
      </c>
      <c r="K16" s="12">
        <f>(G16-F16)/F16</f>
        <v/>
      </c>
      <c r="L16" s="7" t="n">
        <v>48</v>
      </c>
      <c r="M16" s="7" t="n">
        <v>50.5</v>
      </c>
      <c r="N16" s="7" t="n">
        <v>45</v>
      </c>
      <c r="O16" s="7" t="n">
        <v>65</v>
      </c>
      <c r="P16" s="7" t="n">
        <v>1.2</v>
      </c>
      <c r="Q16" s="7" t="n">
        <v>45</v>
      </c>
      <c r="R16" s="7" t="inlineStr">
        <is>
          <t>观望</t>
        </is>
      </c>
      <c r="S16" s="7" t="inlineStr">
        <is>
          <t>良好</t>
        </is>
      </c>
      <c r="T16" s="7" t="inlineStr">
        <is>
          <t>持有</t>
        </is>
      </c>
      <c r="U16" s="7" t="inlineStr"/>
    </row>
    <row r="17">
      <c r="A17" s="7" t="inlineStr">
        <is>
          <t>002179</t>
        </is>
      </c>
      <c r="B17" s="7" t="inlineStr">
        <is>
          <t>中航光电</t>
        </is>
      </c>
      <c r="C17" s="7" t="inlineStr">
        <is>
          <t>军工</t>
        </is>
      </c>
      <c r="D17" s="7" t="n">
        <v>7</v>
      </c>
      <c r="E17" s="7" t="n">
        <v>0</v>
      </c>
      <c r="F17" s="7" t="n">
        <v>0</v>
      </c>
      <c r="G17" s="7" t="n">
        <v>34.8</v>
      </c>
      <c r="H17" s="7">
        <f>E17*G17</f>
        <v/>
      </c>
      <c r="I17" s="7">
        <f>H17/'01 组合概览'!$B$2</f>
        <v/>
      </c>
      <c r="J17" s="12">
        <f>(G17-F17)*E17</f>
        <v/>
      </c>
      <c r="K17" s="12">
        <f>(G17-F17)/F17</f>
        <v/>
      </c>
      <c r="L17" s="7" t="n">
        <v>33</v>
      </c>
      <c r="M17" s="7" t="n">
        <v>35.5</v>
      </c>
      <c r="N17" s="7" t="n">
        <v>30</v>
      </c>
      <c r="O17" s="7" t="n">
        <v>45</v>
      </c>
      <c r="P17" s="7" t="n">
        <v>2.2</v>
      </c>
      <c r="Q17" s="7" t="n">
        <v>29</v>
      </c>
      <c r="R17" s="7" t="inlineStr">
        <is>
          <t>观望</t>
        </is>
      </c>
      <c r="S17" s="7" t="inlineStr">
        <is>
          <t>良好</t>
        </is>
      </c>
      <c r="T17" s="7" t="inlineStr">
        <is>
          <t>持有</t>
        </is>
      </c>
      <c r="U17" s="7" t="inlineStr"/>
    </row>
    <row r="18">
      <c r="A18" s="7" t="inlineStr">
        <is>
          <t>603019</t>
        </is>
      </c>
      <c r="B18" s="7" t="inlineStr">
        <is>
          <t>中科曙光</t>
        </is>
      </c>
      <c r="C18" s="7" t="inlineStr">
        <is>
          <t>政策方向</t>
        </is>
      </c>
      <c r="D18" s="7" t="n">
        <v>8</v>
      </c>
      <c r="E18" s="7" t="n">
        <v>0</v>
      </c>
      <c r="F18" s="7" t="n">
        <v>0</v>
      </c>
      <c r="G18" s="7" t="n">
        <v>84.8</v>
      </c>
      <c r="H18" s="7">
        <f>E18*G18</f>
        <v/>
      </c>
      <c r="I18" s="7">
        <f>H18/'01 组合概览'!$B$2</f>
        <v/>
      </c>
      <c r="J18" s="12">
        <f>(G18-F18)*E18</f>
        <v/>
      </c>
      <c r="K18" s="12">
        <f>(G18-F18)/F18</f>
        <v/>
      </c>
      <c r="L18" s="7" t="n">
        <v>80</v>
      </c>
      <c r="M18" s="7" t="n">
        <v>85</v>
      </c>
      <c r="N18" s="7" t="n">
        <v>75</v>
      </c>
      <c r="O18" s="7" t="n">
        <v>110</v>
      </c>
      <c r="P18" s="7" t="n">
        <v>0.8</v>
      </c>
      <c r="Q18" s="7" t="n">
        <v>60</v>
      </c>
      <c r="R18" s="7" t="inlineStr">
        <is>
          <t>观望</t>
        </is>
      </c>
      <c r="S18" s="7" t="inlineStr">
        <is>
          <t>良好</t>
        </is>
      </c>
      <c r="T18" s="7" t="inlineStr">
        <is>
          <t>持有</t>
        </is>
      </c>
      <c r="U18" s="7" t="inlineStr"/>
    </row>
    <row r="19">
      <c r="A19" s="7" t="inlineStr">
        <is>
          <t>600536</t>
        </is>
      </c>
      <c r="B19" s="7" t="inlineStr">
        <is>
          <t>中国软件</t>
        </is>
      </c>
      <c r="C19" s="7" t="inlineStr">
        <is>
          <t>政策方向</t>
        </is>
      </c>
      <c r="D19" s="7" t="n">
        <v>4</v>
      </c>
      <c r="E19" s="7" t="n">
        <v>0</v>
      </c>
      <c r="F19" s="7" t="n">
        <v>0</v>
      </c>
      <c r="G19" s="7" t="n">
        <v>45</v>
      </c>
      <c r="H19" s="7">
        <f>E19*G19</f>
        <v/>
      </c>
      <c r="I19" s="7">
        <f>H19/'01 组合概览'!$B$2</f>
        <v/>
      </c>
      <c r="J19" s="12">
        <f>(G19-F19)*E19</f>
        <v/>
      </c>
      <c r="K19" s="12">
        <f>(G19-F19)/F19</f>
        <v/>
      </c>
      <c r="L19" s="7" t="n">
        <v>42</v>
      </c>
      <c r="M19" s="7" t="n">
        <v>48</v>
      </c>
      <c r="N19" s="7" t="n">
        <v>38</v>
      </c>
      <c r="O19" s="7" t="n">
        <v>60</v>
      </c>
      <c r="P19" s="7" t="n">
        <v>0.5</v>
      </c>
      <c r="Q19" s="7" t="n">
        <v>80</v>
      </c>
      <c r="R19" s="7" t="inlineStr">
        <is>
          <t>观望</t>
        </is>
      </c>
      <c r="S19" s="7" t="inlineStr">
        <is>
          <t>良好</t>
        </is>
      </c>
      <c r="T19" s="7" t="inlineStr">
        <is>
          <t>持有</t>
        </is>
      </c>
      <c r="U19" s="7" t="inlineStr"/>
    </row>
  </sheetData>
  <dataValidations count="3">
    <dataValidation sqref="C2:C19" showDropDown="0" showInputMessage="0" showErrorMessage="0" allowBlank="0" errorTitle="无效的板块" error="请选择有效的板块名称" type="list">
      <formula1>"上游油气，LNG,油服，煤炭化工，特高压，新能源，黄金，军工，政策方向"</formula1>
    </dataValidation>
    <dataValidation sqref="R2:R19" showDropDown="0" showInputMessage="0" showErrorMessage="0" allowBlank="0" type="list">
      <formula1>"多头，空头，震荡，观望"</formula1>
    </dataValidation>
    <dataValidation sqref="S2:S19" showDropDown="0" showInputMessage="0" showErrorMessage="0" allowBlank="0" type="list">
      <formula1>"优秀，良好，一般，警惕"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10" customWidth="1" min="13" max="13"/>
    <col width="20" customWidth="1" min="14" max="14"/>
  </cols>
  <sheetData>
    <row r="1">
      <c r="A1" s="10" t="inlineStr">
        <is>
          <t>交易日期</t>
        </is>
      </c>
      <c r="B1" s="10" t="inlineStr">
        <is>
          <t>股票代码</t>
        </is>
      </c>
      <c r="C1" s="10" t="inlineStr">
        <is>
          <t>股票名称</t>
        </is>
      </c>
      <c r="D1" s="10" t="inlineStr">
        <is>
          <t>交易类型</t>
        </is>
      </c>
      <c r="E1" s="10" t="inlineStr">
        <is>
          <t>交易价格</t>
        </is>
      </c>
      <c r="F1" s="10" t="inlineStr">
        <is>
          <t>交易数量</t>
        </is>
      </c>
      <c r="G1" s="10" t="inlineStr">
        <is>
          <t>交易金额</t>
        </is>
      </c>
      <c r="H1" s="10" t="inlineStr">
        <is>
          <t>手续费</t>
        </is>
      </c>
      <c r="I1" s="10" t="inlineStr">
        <is>
          <t>净现金流</t>
        </is>
      </c>
      <c r="J1" s="10" t="inlineStr">
        <is>
          <t>交易后持仓</t>
        </is>
      </c>
      <c r="K1" s="10" t="inlineStr">
        <is>
          <t>交易后成本</t>
        </is>
      </c>
      <c r="L1" s="10" t="inlineStr">
        <is>
          <t>交易理由</t>
        </is>
      </c>
      <c r="M1" s="10" t="inlineStr">
        <is>
          <t>操作人</t>
        </is>
      </c>
      <c r="N1" s="10" t="inlineStr">
        <is>
          <t>备注</t>
        </is>
      </c>
    </row>
    <row r="2">
      <c r="A2" s="7" t="inlineStr">
        <is>
          <t>2026-03-20</t>
        </is>
      </c>
      <c r="B2" s="7" t="inlineStr">
        <is>
          <t>600938</t>
        </is>
      </c>
      <c r="C2" s="7" t="inlineStr">
        <is>
          <t>中国海油</t>
        </is>
      </c>
      <c r="D2" s="7" t="inlineStr">
        <is>
          <t>买入</t>
        </is>
      </c>
      <c r="E2" s="7" t="n">
        <v>40</v>
      </c>
      <c r="F2" s="7" t="n">
        <v>1000</v>
      </c>
      <c r="G2" s="7" t="n">
        <v>40000</v>
      </c>
      <c r="H2" s="7" t="n">
        <v>100</v>
      </c>
      <c r="I2" s="7" t="n">
        <v>-40100</v>
      </c>
      <c r="J2" s="7" t="n">
        <v>1000</v>
      </c>
      <c r="K2" s="7" t="n">
        <v>40</v>
      </c>
      <c r="L2" s="7" t="inlineStr">
        <is>
          <t>回调至支撑位建仓</t>
        </is>
      </c>
      <c r="M2" s="7" t="inlineStr">
        <is>
          <t>用户</t>
        </is>
      </c>
      <c r="N2" s="7" t="inlineStr">
        <is>
          <t>首仓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>
      <c r="A1" s="10" t="inlineStr">
        <is>
          <t>股票代码</t>
        </is>
      </c>
      <c r="B1" s="10" t="inlineStr">
        <is>
          <t>股票名称</t>
        </is>
      </c>
      <c r="C1" s="10" t="inlineStr">
        <is>
          <t>报告期</t>
        </is>
      </c>
      <c r="D1" s="10" t="inlineStr">
        <is>
          <t>营收 (亿)</t>
        </is>
      </c>
      <c r="E1" s="10" t="inlineStr">
        <is>
          <t>营收同比%</t>
        </is>
      </c>
      <c r="F1" s="10" t="inlineStr">
        <is>
          <t>净利润 (亿)</t>
        </is>
      </c>
      <c r="G1" s="10" t="inlineStr">
        <is>
          <t>净利润同比%</t>
        </is>
      </c>
      <c r="H1" s="10" t="inlineStr">
        <is>
          <t>毛利率%</t>
        </is>
      </c>
      <c r="I1" s="10" t="inlineStr">
        <is>
          <t>ROE%</t>
        </is>
      </c>
      <c r="J1" s="10" t="inlineStr">
        <is>
          <t>负债率%</t>
        </is>
      </c>
      <c r="K1" s="10" t="inlineStr">
        <is>
          <t>经营现金流 (亿)</t>
        </is>
      </c>
      <c r="L1" s="10" t="inlineStr">
        <is>
          <t>数据来源</t>
        </is>
      </c>
      <c r="M1" s="10" t="inlineStr">
        <is>
          <t>更新日期</t>
        </is>
      </c>
    </row>
    <row r="2">
      <c r="A2" s="7" t="inlineStr">
        <is>
          <t>600938</t>
        </is>
      </c>
      <c r="B2" s="7" t="inlineStr">
        <is>
          <t>中国海油</t>
        </is>
      </c>
      <c r="C2" s="7" t="inlineStr">
        <is>
          <t>2026Q1</t>
        </is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inlineStr">
        <is>
          <t>待更新</t>
        </is>
      </c>
      <c r="M2" s="7" t="inlineStr">
        <is>
          <t>2026-03-20</t>
        </is>
      </c>
    </row>
    <row r="3">
      <c r="A3" s="7" t="inlineStr">
        <is>
          <t>600938</t>
        </is>
      </c>
      <c r="B3" s="7" t="inlineStr">
        <is>
          <t>中国海油</t>
        </is>
      </c>
      <c r="C3" s="7" t="inlineStr">
        <is>
          <t>2025Q4</t>
        </is>
      </c>
      <c r="D3" s="7" t="n">
        <v>0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inlineStr">
        <is>
          <t>待更新</t>
        </is>
      </c>
      <c r="M3" s="7" t="inlineStr">
        <is>
          <t>2026-03-20</t>
        </is>
      </c>
    </row>
    <row r="4">
      <c r="A4" s="7" t="inlineStr">
        <is>
          <t>601857</t>
        </is>
      </c>
      <c r="B4" s="7" t="inlineStr">
        <is>
          <t>中国石油</t>
        </is>
      </c>
      <c r="C4" s="7" t="inlineStr">
        <is>
          <t>2026Q1</t>
        </is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inlineStr">
        <is>
          <t>待更新</t>
        </is>
      </c>
      <c r="M4" s="7" t="inlineStr">
        <is>
          <t>2026-03-20</t>
        </is>
      </c>
    </row>
    <row r="5">
      <c r="A5" s="7" t="inlineStr">
        <is>
          <t>601857</t>
        </is>
      </c>
      <c r="B5" s="7" t="inlineStr">
        <is>
          <t>中国石油</t>
        </is>
      </c>
      <c r="C5" s="7" t="inlineStr">
        <is>
          <t>2025Q4</t>
        </is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inlineStr">
        <is>
          <t>待更新</t>
        </is>
      </c>
      <c r="M5" s="7" t="inlineStr">
        <is>
          <t>2026-03-20</t>
        </is>
      </c>
    </row>
    <row r="6">
      <c r="A6" s="7" t="inlineStr">
        <is>
          <t>600256</t>
        </is>
      </c>
      <c r="B6" s="7" t="inlineStr">
        <is>
          <t>广汇能源</t>
        </is>
      </c>
      <c r="C6" s="7" t="inlineStr">
        <is>
          <t>2026Q1</t>
        </is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inlineStr">
        <is>
          <t>待更新</t>
        </is>
      </c>
      <c r="M6" s="7" t="inlineStr">
        <is>
          <t>2026-03-20</t>
        </is>
      </c>
    </row>
    <row r="7">
      <c r="A7" s="7" t="inlineStr">
        <is>
          <t>600256</t>
        </is>
      </c>
      <c r="B7" s="7" t="inlineStr">
        <is>
          <t>广汇能源</t>
        </is>
      </c>
      <c r="C7" s="7" t="inlineStr">
        <is>
          <t>2025Q4</t>
        </is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inlineStr">
        <is>
          <t>待更新</t>
        </is>
      </c>
      <c r="M7" s="7" t="inlineStr">
        <is>
          <t>2026-03-20</t>
        </is>
      </c>
    </row>
    <row r="8">
      <c r="A8" s="7" t="inlineStr">
        <is>
          <t>600803</t>
        </is>
      </c>
      <c r="B8" s="7" t="inlineStr">
        <is>
          <t>新奥股份</t>
        </is>
      </c>
      <c r="C8" s="7" t="inlineStr">
        <is>
          <t>2026Q1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inlineStr">
        <is>
          <t>待更新</t>
        </is>
      </c>
      <c r="M8" s="7" t="inlineStr">
        <is>
          <t>2026-03-20</t>
        </is>
      </c>
    </row>
    <row r="9">
      <c r="A9" s="7" t="inlineStr">
        <is>
          <t>600803</t>
        </is>
      </c>
      <c r="B9" s="7" t="inlineStr">
        <is>
          <t>新奥股份</t>
        </is>
      </c>
      <c r="C9" s="7" t="inlineStr">
        <is>
          <t>2025Q4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inlineStr">
        <is>
          <t>待更新</t>
        </is>
      </c>
      <c r="M9" s="7" t="inlineStr">
        <is>
          <t>2026-03-20</t>
        </is>
      </c>
    </row>
    <row r="10">
      <c r="A10" s="7" t="inlineStr">
        <is>
          <t>601808</t>
        </is>
      </c>
      <c r="B10" s="7" t="inlineStr">
        <is>
          <t>中海油服</t>
        </is>
      </c>
      <c r="C10" s="7" t="inlineStr">
        <is>
          <t>2026Q1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inlineStr">
        <is>
          <t>待更新</t>
        </is>
      </c>
      <c r="M10" s="7" t="inlineStr">
        <is>
          <t>2026-03-20</t>
        </is>
      </c>
    </row>
    <row r="11">
      <c r="A11" s="7" t="inlineStr">
        <is>
          <t>601808</t>
        </is>
      </c>
      <c r="B11" s="7" t="inlineStr">
        <is>
          <t>中海油服</t>
        </is>
      </c>
      <c r="C11" s="7" t="inlineStr">
        <is>
          <t>2025Q4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inlineStr">
        <is>
          <t>待更新</t>
        </is>
      </c>
      <c r="M11" s="7" t="inlineStr">
        <is>
          <t>2026-03-20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0" t="inlineStr">
        <is>
          <t>股票代码</t>
        </is>
      </c>
      <c r="B1" s="10" t="inlineStr">
        <is>
          <t>股票名称</t>
        </is>
      </c>
      <c r="C1" s="10" t="inlineStr">
        <is>
          <t>更新日期</t>
        </is>
      </c>
      <c r="D1" s="10" t="inlineStr">
        <is>
          <t>收盘价</t>
        </is>
      </c>
      <c r="E1" s="10" t="inlineStr">
        <is>
          <t>5 日均线</t>
        </is>
      </c>
      <c r="F1" s="10" t="inlineStr">
        <is>
          <t>20 日均线</t>
        </is>
      </c>
      <c r="G1" s="10" t="inlineStr">
        <is>
          <t>60 日均线</t>
        </is>
      </c>
      <c r="H1" s="10" t="inlineStr">
        <is>
          <t>MACD</t>
        </is>
      </c>
      <c r="I1" s="10" t="inlineStr">
        <is>
          <t>RSI(14)</t>
        </is>
      </c>
      <c r="J1" s="10" t="inlineStr">
        <is>
          <t>成交量 (万手)</t>
        </is>
      </c>
      <c r="K1" s="10" t="inlineStr">
        <is>
          <t>技术形态</t>
        </is>
      </c>
      <c r="L1" s="10" t="inlineStr">
        <is>
          <t>关键支撑</t>
        </is>
      </c>
      <c r="M1" s="10" t="inlineStr">
        <is>
          <t>关键阻力</t>
        </is>
      </c>
      <c r="N1" s="10" t="inlineStr">
        <is>
          <t>信号建议</t>
        </is>
      </c>
    </row>
    <row r="2">
      <c r="A2" s="7" t="inlineStr">
        <is>
          <t>600938</t>
        </is>
      </c>
      <c r="B2" s="7" t="inlineStr">
        <is>
          <t>中国海油</t>
        </is>
      </c>
      <c r="C2" s="7" t="inlineStr">
        <is>
          <t>2026-03-20</t>
        </is>
      </c>
      <c r="D2" s="7" t="n">
        <v>42.24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50</v>
      </c>
      <c r="J2" s="7" t="n">
        <v>0</v>
      </c>
      <c r="K2" s="7" t="inlineStr">
        <is>
          <t>震荡</t>
        </is>
      </c>
      <c r="L2" s="7" t="n">
        <v>38.5</v>
      </c>
      <c r="M2" s="7" t="n">
        <v>40.5</v>
      </c>
      <c r="N2" s="7" t="inlineStr">
        <is>
          <t>持有</t>
        </is>
      </c>
    </row>
    <row r="3">
      <c r="A3" s="7" t="inlineStr">
        <is>
          <t>601857</t>
        </is>
      </c>
      <c r="B3" s="7" t="inlineStr">
        <is>
          <t>中国石油</t>
        </is>
      </c>
      <c r="C3" s="7" t="inlineStr">
        <is>
          <t>2026-03-20</t>
        </is>
      </c>
      <c r="D3" s="7" t="n">
        <v>12.5</v>
      </c>
      <c r="E3" s="7" t="n">
        <v>0</v>
      </c>
      <c r="F3" s="7" t="n">
        <v>0</v>
      </c>
      <c r="G3" s="7" t="n">
        <v>0</v>
      </c>
      <c r="H3" s="7" t="n">
        <v>0</v>
      </c>
      <c r="I3" s="7" t="n">
        <v>50</v>
      </c>
      <c r="J3" s="7" t="n">
        <v>0</v>
      </c>
      <c r="K3" s="7" t="inlineStr">
        <is>
          <t>震荡</t>
        </is>
      </c>
      <c r="L3" s="7" t="n">
        <v>11.8</v>
      </c>
      <c r="M3" s="7" t="n">
        <v>12.8</v>
      </c>
      <c r="N3" s="7" t="inlineStr">
        <is>
          <t>持有</t>
        </is>
      </c>
    </row>
    <row r="4">
      <c r="A4" s="7" t="inlineStr">
        <is>
          <t>600256</t>
        </is>
      </c>
      <c r="B4" s="7" t="inlineStr">
        <is>
          <t>广汇能源</t>
        </is>
      </c>
      <c r="C4" s="7" t="inlineStr">
        <is>
          <t>2026-03-20</t>
        </is>
      </c>
      <c r="D4" s="7" t="n">
        <v>7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50</v>
      </c>
      <c r="J4" s="7" t="n">
        <v>0</v>
      </c>
      <c r="K4" s="7" t="inlineStr">
        <is>
          <t>震荡</t>
        </is>
      </c>
      <c r="L4" s="7" t="n">
        <v>6.2</v>
      </c>
      <c r="M4" s="7" t="n">
        <v>7.2</v>
      </c>
      <c r="N4" s="7" t="inlineStr">
        <is>
          <t>持有</t>
        </is>
      </c>
    </row>
    <row r="5">
      <c r="A5" s="7" t="inlineStr">
        <is>
          <t>600803</t>
        </is>
      </c>
      <c r="B5" s="7" t="inlineStr">
        <is>
          <t>新奥股份</t>
        </is>
      </c>
      <c r="C5" s="7" t="inlineStr">
        <is>
          <t>2026-03-20</t>
        </is>
      </c>
      <c r="D5" s="7" t="n">
        <v>22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50</v>
      </c>
      <c r="J5" s="7" t="n">
        <v>0</v>
      </c>
      <c r="K5" s="7" t="inlineStr">
        <is>
          <t>震荡</t>
        </is>
      </c>
      <c r="L5" s="7" t="n">
        <v>19.5</v>
      </c>
      <c r="M5" s="7" t="n">
        <v>22.5</v>
      </c>
      <c r="N5" s="7" t="inlineStr">
        <is>
          <t>持有</t>
        </is>
      </c>
    </row>
    <row r="6">
      <c r="A6" s="7" t="inlineStr">
        <is>
          <t>601808</t>
        </is>
      </c>
      <c r="B6" s="7" t="inlineStr">
        <is>
          <t>中海油服</t>
        </is>
      </c>
      <c r="C6" s="7" t="inlineStr">
        <is>
          <t>2026-03-20</t>
        </is>
      </c>
      <c r="D6" s="7" t="n">
        <v>17.4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50</v>
      </c>
      <c r="J6" s="7" t="n">
        <v>0</v>
      </c>
      <c r="K6" s="7" t="inlineStr">
        <is>
          <t>震荡</t>
        </is>
      </c>
      <c r="L6" s="7" t="n">
        <v>16.5</v>
      </c>
      <c r="M6" s="7" t="n">
        <v>18</v>
      </c>
      <c r="N6" s="7" t="inlineStr">
        <is>
          <t>持有</t>
        </is>
      </c>
    </row>
    <row r="7">
      <c r="A7" s="7" t="inlineStr">
        <is>
          <t>002353</t>
        </is>
      </c>
      <c r="B7" s="7" t="inlineStr">
        <is>
          <t>杰瑞股份</t>
        </is>
      </c>
      <c r="C7" s="7" t="inlineStr">
        <is>
          <t>2026-03-20</t>
        </is>
      </c>
      <c r="D7" s="7" t="n">
        <v>99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50</v>
      </c>
      <c r="J7" s="7" t="n">
        <v>0</v>
      </c>
      <c r="K7" s="7" t="inlineStr">
        <is>
          <t>震荡</t>
        </is>
      </c>
      <c r="L7" s="7" t="n">
        <v>90</v>
      </c>
      <c r="M7" s="7" t="n">
        <v>100</v>
      </c>
      <c r="N7" s="7" t="inlineStr">
        <is>
          <t>持有</t>
        </is>
      </c>
    </row>
    <row r="8">
      <c r="A8" s="7" t="inlineStr">
        <is>
          <t>601088</t>
        </is>
      </c>
      <c r="B8" s="7" t="inlineStr">
        <is>
          <t>中国神华</t>
        </is>
      </c>
      <c r="C8" s="7" t="inlineStr">
        <is>
          <t>2026-03-20</t>
        </is>
      </c>
      <c r="D8" s="7" t="n">
        <v>46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50</v>
      </c>
      <c r="J8" s="7" t="n">
        <v>0</v>
      </c>
      <c r="K8" s="7" t="inlineStr">
        <is>
          <t>震荡</t>
        </is>
      </c>
      <c r="L8" s="7" t="n">
        <v>43</v>
      </c>
      <c r="M8" s="7" t="n">
        <v>47</v>
      </c>
      <c r="N8" s="7" t="inlineStr">
        <is>
          <t>持有</t>
        </is>
      </c>
    </row>
    <row r="9">
      <c r="A9" s="7" t="inlineStr">
        <is>
          <t>600426</t>
        </is>
      </c>
      <c r="B9" s="7" t="inlineStr">
        <is>
          <t>华鲁恒升</t>
        </is>
      </c>
      <c r="C9" s="7" t="inlineStr">
        <is>
          <t>2026-03-20</t>
        </is>
      </c>
      <c r="D9" s="7" t="n">
        <v>35.6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50</v>
      </c>
      <c r="J9" s="7" t="n">
        <v>0</v>
      </c>
      <c r="K9" s="7" t="inlineStr">
        <is>
          <t>震荡</t>
        </is>
      </c>
      <c r="L9" s="7" t="n">
        <v>36</v>
      </c>
      <c r="M9" s="7" t="n">
        <v>41</v>
      </c>
      <c r="N9" s="7" t="inlineStr">
        <is>
          <t>持有</t>
        </is>
      </c>
    </row>
    <row r="10">
      <c r="A10" s="7" t="inlineStr">
        <is>
          <t>600406</t>
        </is>
      </c>
      <c r="B10" s="7" t="inlineStr">
        <is>
          <t>国电南瑞</t>
        </is>
      </c>
      <c r="C10" s="7" t="inlineStr">
        <is>
          <t>2026-03-20</t>
        </is>
      </c>
      <c r="D10" s="7" t="n">
        <v>30.7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50</v>
      </c>
      <c r="J10" s="7" t="n">
        <v>0</v>
      </c>
      <c r="K10" s="7" t="inlineStr">
        <is>
          <t>震荡</t>
        </is>
      </c>
      <c r="L10" s="7" t="n">
        <v>29</v>
      </c>
      <c r="M10" s="7" t="n">
        <v>31.5</v>
      </c>
      <c r="N10" s="7" t="inlineStr">
        <is>
          <t>持有</t>
        </is>
      </c>
    </row>
    <row r="11">
      <c r="A11" s="7" t="inlineStr">
        <is>
          <t>000400</t>
        </is>
      </c>
      <c r="B11" s="7" t="inlineStr">
        <is>
          <t>许继电气</t>
        </is>
      </c>
      <c r="C11" s="7" t="inlineStr">
        <is>
          <t>2026-03-20</t>
        </is>
      </c>
      <c r="D11" s="7" t="n">
        <v>33.6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50</v>
      </c>
      <c r="J11" s="7" t="n">
        <v>0</v>
      </c>
      <c r="K11" s="7" t="inlineStr">
        <is>
          <t>震荡</t>
        </is>
      </c>
      <c r="L11" s="7" t="n">
        <v>31</v>
      </c>
      <c r="M11" s="7" t="n">
        <v>35</v>
      </c>
      <c r="N11" s="7" t="inlineStr">
        <is>
          <t>持有</t>
        </is>
      </c>
    </row>
    <row r="12">
      <c r="A12" s="7" t="inlineStr">
        <is>
          <t>300750</t>
        </is>
      </c>
      <c r="B12" s="7" t="inlineStr">
        <is>
          <t>宁德时代</t>
        </is>
      </c>
      <c r="C12" s="7" t="inlineStr">
        <is>
          <t>2026-03-20</t>
        </is>
      </c>
      <c r="D12" s="7" t="n">
        <v>400.5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50</v>
      </c>
      <c r="J12" s="7" t="n">
        <v>0</v>
      </c>
      <c r="K12" s="7" t="inlineStr">
        <is>
          <t>震荡</t>
        </is>
      </c>
      <c r="L12" s="7" t="n">
        <v>380</v>
      </c>
      <c r="M12" s="7" t="n">
        <v>410</v>
      </c>
      <c r="N12" s="7" t="inlineStr">
        <is>
          <t>持有</t>
        </is>
      </c>
    </row>
    <row r="13">
      <c r="A13" s="7" t="inlineStr">
        <is>
          <t>300274</t>
        </is>
      </c>
      <c r="B13" s="7" t="inlineStr">
        <is>
          <t>阳光电源</t>
        </is>
      </c>
      <c r="C13" s="7" t="inlineStr">
        <is>
          <t>2026-03-20</t>
        </is>
      </c>
      <c r="D13" s="7" t="n">
        <v>165.1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50</v>
      </c>
      <c r="J13" s="7" t="n">
        <v>0</v>
      </c>
      <c r="K13" s="7" t="inlineStr">
        <is>
          <t>震荡</t>
        </is>
      </c>
      <c r="L13" s="7" t="n">
        <v>155</v>
      </c>
      <c r="M13" s="7" t="n">
        <v>170</v>
      </c>
      <c r="N13" s="7" t="inlineStr">
        <is>
          <t>持有</t>
        </is>
      </c>
    </row>
    <row r="14">
      <c r="A14" s="7" t="inlineStr">
        <is>
          <t>601899</t>
        </is>
      </c>
      <c r="B14" s="7" t="inlineStr">
        <is>
          <t>紫金矿业</t>
        </is>
      </c>
      <c r="C14" s="7" t="inlineStr">
        <is>
          <t>2026-03-20</t>
        </is>
      </c>
      <c r="D14" s="7" t="n">
        <v>32.4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50</v>
      </c>
      <c r="J14" s="7" t="n">
        <v>0</v>
      </c>
      <c r="K14" s="7" t="inlineStr">
        <is>
          <t>震荡</t>
        </is>
      </c>
      <c r="L14" s="7" t="n">
        <v>30</v>
      </c>
      <c r="M14" s="7" t="n">
        <v>34</v>
      </c>
      <c r="N14" s="7" t="inlineStr">
        <is>
          <t>持有</t>
        </is>
      </c>
    </row>
    <row r="15">
      <c r="A15" s="7" t="inlineStr">
        <is>
          <t>600489</t>
        </is>
      </c>
      <c r="B15" s="7" t="inlineStr">
        <is>
          <t>中金黄金</t>
        </is>
      </c>
      <c r="C15" s="7" t="inlineStr">
        <is>
          <t>2026-03-20</t>
        </is>
      </c>
      <c r="D15" s="7" t="n">
        <v>26.7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50</v>
      </c>
      <c r="J15" s="7" t="n">
        <v>0</v>
      </c>
      <c r="K15" s="7" t="inlineStr">
        <is>
          <t>震荡</t>
        </is>
      </c>
      <c r="L15" s="7" t="n">
        <v>24.5</v>
      </c>
      <c r="M15" s="7" t="n">
        <v>27.5</v>
      </c>
      <c r="N15" s="7" t="inlineStr">
        <is>
          <t>持有</t>
        </is>
      </c>
    </row>
    <row r="16">
      <c r="A16" s="7" t="inlineStr">
        <is>
          <t>600760</t>
        </is>
      </c>
      <c r="B16" s="7" t="inlineStr">
        <is>
          <t>中航沈飞</t>
        </is>
      </c>
      <c r="C16" s="7" t="inlineStr">
        <is>
          <t>2026-03-20</t>
        </is>
      </c>
      <c r="D16" s="7" t="n">
        <v>50.87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50</v>
      </c>
      <c r="J16" s="7" t="n">
        <v>0</v>
      </c>
      <c r="K16" s="7" t="inlineStr">
        <is>
          <t>震荡</t>
        </is>
      </c>
      <c r="L16" s="7" t="n">
        <v>48</v>
      </c>
      <c r="M16" s="7" t="n">
        <v>50.5</v>
      </c>
      <c r="N16" s="7" t="inlineStr">
        <is>
          <t>持有</t>
        </is>
      </c>
    </row>
    <row r="17">
      <c r="A17" s="7" t="inlineStr">
        <is>
          <t>002179</t>
        </is>
      </c>
      <c r="B17" s="7" t="inlineStr">
        <is>
          <t>中航光电</t>
        </is>
      </c>
      <c r="C17" s="7" t="inlineStr">
        <is>
          <t>2026-03-20</t>
        </is>
      </c>
      <c r="D17" s="7" t="n">
        <v>34.8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50</v>
      </c>
      <c r="J17" s="7" t="n">
        <v>0</v>
      </c>
      <c r="K17" s="7" t="inlineStr">
        <is>
          <t>震荡</t>
        </is>
      </c>
      <c r="L17" s="7" t="n">
        <v>33</v>
      </c>
      <c r="M17" s="7" t="n">
        <v>35.5</v>
      </c>
      <c r="N17" s="7" t="inlineStr">
        <is>
          <t>持有</t>
        </is>
      </c>
    </row>
    <row r="18">
      <c r="A18" s="7" t="inlineStr">
        <is>
          <t>603019</t>
        </is>
      </c>
      <c r="B18" s="7" t="inlineStr">
        <is>
          <t>中科曙光</t>
        </is>
      </c>
      <c r="C18" s="7" t="inlineStr">
        <is>
          <t>2026-03-20</t>
        </is>
      </c>
      <c r="D18" s="7" t="n">
        <v>84.8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50</v>
      </c>
      <c r="J18" s="7" t="n">
        <v>0</v>
      </c>
      <c r="K18" s="7" t="inlineStr">
        <is>
          <t>震荡</t>
        </is>
      </c>
      <c r="L18" s="7" t="n">
        <v>80</v>
      </c>
      <c r="M18" s="7" t="n">
        <v>85</v>
      </c>
      <c r="N18" s="7" t="inlineStr">
        <is>
          <t>持有</t>
        </is>
      </c>
    </row>
    <row r="19">
      <c r="A19" s="7" t="inlineStr">
        <is>
          <t>600536</t>
        </is>
      </c>
      <c r="B19" s="7" t="inlineStr">
        <is>
          <t>中国软件</t>
        </is>
      </c>
      <c r="C19" s="7" t="inlineStr">
        <is>
          <t>2026-03-20</t>
        </is>
      </c>
      <c r="D19" s="7" t="n">
        <v>45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50</v>
      </c>
      <c r="J19" s="7" t="n">
        <v>0</v>
      </c>
      <c r="K19" s="7" t="inlineStr">
        <is>
          <t>震荡</t>
        </is>
      </c>
      <c r="L19" s="7" t="n">
        <v>42</v>
      </c>
      <c r="M19" s="7" t="n">
        <v>48</v>
      </c>
      <c r="N19" s="7" t="inlineStr">
        <is>
          <t>持有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>
      <c r="A1" s="10" t="inlineStr">
        <is>
          <t>检视日期</t>
        </is>
      </c>
      <c r="B1" s="10" t="inlineStr">
        <is>
          <t>触发原因</t>
        </is>
      </c>
      <c r="C1" s="10" t="inlineStr">
        <is>
          <t>调整标的</t>
        </is>
      </c>
      <c r="D1" s="10" t="inlineStr">
        <is>
          <t>调整前仓位%</t>
        </is>
      </c>
      <c r="E1" s="10" t="inlineStr">
        <is>
          <t>目标仓位%</t>
        </is>
      </c>
      <c r="F1" s="10" t="inlineStr">
        <is>
          <t>调整后仓位%</t>
        </is>
      </c>
      <c r="G1" s="10" t="inlineStr">
        <is>
          <t>操作动作</t>
        </is>
      </c>
      <c r="H1" s="10" t="inlineStr">
        <is>
          <t>交易金额</t>
        </is>
      </c>
      <c r="I1" s="10" t="inlineStr">
        <is>
          <t>调整后组合收益</t>
        </is>
      </c>
      <c r="J1" s="10" t="inlineStr">
        <is>
          <t>备注</t>
        </is>
      </c>
    </row>
    <row r="2">
      <c r="A2" s="7" t="inlineStr">
        <is>
          <t>2026-03-20</t>
        </is>
      </c>
      <c r="B2" s="7" t="inlineStr">
        <is>
          <t>月度检视</t>
        </is>
      </c>
      <c r="C2" s="7" t="inlineStr">
        <is>
          <t>中国海油</t>
        </is>
      </c>
      <c r="D2" s="7" t="n">
        <v>13.5</v>
      </c>
      <c r="E2" s="7" t="n">
        <v>10</v>
      </c>
      <c r="F2" s="7" t="n">
        <v>10.2</v>
      </c>
      <c r="G2" s="7" t="inlineStr">
        <is>
          <t>减仓 3.3%</t>
        </is>
      </c>
      <c r="H2" s="7" t="n">
        <v>-32000</v>
      </c>
      <c r="I2" s="7" t="inlineStr">
        <is>
          <t>8.35%</t>
        </is>
      </c>
      <c r="J2" s="7" t="inlineStr">
        <is>
          <t>油价冲高止盈部分</t>
        </is>
      </c>
    </row>
    <row r="3">
      <c r="A3" s="7" t="inlineStr">
        <is>
          <t>2026-03-20</t>
        </is>
      </c>
      <c r="B3" s="7" t="inlineStr">
        <is>
          <t>月度检视</t>
        </is>
      </c>
      <c r="C3" s="7" t="inlineStr">
        <is>
          <t>阳光电源</t>
        </is>
      </c>
      <c r="D3" s="7" t="n">
        <v>6.8</v>
      </c>
      <c r="E3" s="7" t="n">
        <v>8</v>
      </c>
      <c r="F3" s="7" t="n">
        <v>7.9</v>
      </c>
      <c r="G3" s="7" t="inlineStr">
        <is>
          <t>加仓 1.1%</t>
        </is>
      </c>
      <c r="H3" s="7" t="n">
        <v>11000</v>
      </c>
      <c r="I3" s="7" t="inlineStr">
        <is>
          <t>8.35%</t>
        </is>
      </c>
      <c r="J3" s="7" t="inlineStr">
        <is>
          <t>回调至支撑位加仓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2026-03-20T02:31:27Z</dcterms:created>
  <dcterms:modified xmlns:dcterms="http://purl.org/dc/terms/" xmlns:xsi="http://www.w3.org/2001/XMLSchema-instance" xsi:type="dcterms:W3CDTF">2026-03-20T02:31:27Z</dcterms:modified>
</cp:coreProperties>
</file>