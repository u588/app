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国证指数202508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<sst xmlns="http://schemas.openxmlformats.org/spreadsheetml/2006/main" count="859" uniqueCount="4">
  <si>
    <t>IndexCode</t>
  </si>
  <si>
    <t>Market</t>
  </si>
  <si>
    <t>MarketCode</t>
  </si>
  <si>
    <t>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</si>
</sst>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7"/>
  <sheetViews>
    <sheetView tabSelected="1" zoomScaleSheetLayoutView="60" workbookViewId="0">
      <selection activeCell="C2" sqref="C2:C857"/>
    </sheetView>
  </sheetViews>
  <sheetFormatPr defaultColWidth="9" defaultRowHeight="13.5" outlineLevelCol="2"/>
  <cols>
    <col min="1" max="1" width="10.375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tr">
        <f>"470006"</f>
        <v>470006</v>
      </c>
      <c r="B2" t="s">
        <v>3</v>
      </c>
      <c r="C2">
        <v>102</v>
      </c>
    </row>
    <row r="3" spans="1:3">
      <c r="A3" t="str">
        <f>"470007"</f>
        <v>470007</v>
      </c>
      <c r="B3" t="s">
        <v>3</v>
      </c>
      <c r="C3">
        <v>102</v>
      </c>
    </row>
    <row r="4" spans="1:3">
      <c r="A4" t="str">
        <f>"470026"</f>
        <v>470026</v>
      </c>
      <c r="B4" t="s">
        <v>3</v>
      </c>
      <c r="C4">
        <v>102</v>
      </c>
    </row>
    <row r="5" spans="1:3">
      <c r="A5" t="str">
        <f>"470027"</f>
        <v>470027</v>
      </c>
      <c r="B5" t="s">
        <v>3</v>
      </c>
      <c r="C5">
        <v>102</v>
      </c>
    </row>
    <row r="6" spans="1:3">
      <c r="A6" t="str">
        <f>"470028"</f>
        <v>470028</v>
      </c>
      <c r="B6" t="s">
        <v>3</v>
      </c>
      <c r="C6">
        <v>102</v>
      </c>
    </row>
    <row r="7" spans="1:3">
      <c r="A7" t="str">
        <f>"470029"</f>
        <v>470029</v>
      </c>
      <c r="B7" t="s">
        <v>3</v>
      </c>
      <c r="C7">
        <v>102</v>
      </c>
    </row>
    <row r="8" spans="1:3">
      <c r="A8" t="str">
        <f>"470030"</f>
        <v>470030</v>
      </c>
      <c r="B8" t="s">
        <v>3</v>
      </c>
      <c r="C8">
        <v>102</v>
      </c>
    </row>
    <row r="9" spans="1:3">
      <c r="A9" t="str">
        <f>"470031"</f>
        <v>470031</v>
      </c>
      <c r="B9" t="s">
        <v>3</v>
      </c>
      <c r="C9">
        <v>102</v>
      </c>
    </row>
    <row r="10" spans="1:3">
      <c r="A10" t="str">
        <f>"470032"</f>
        <v>470032</v>
      </c>
      <c r="B10" t="s">
        <v>3</v>
      </c>
      <c r="C10">
        <v>102</v>
      </c>
    </row>
    <row r="11" spans="1:3">
      <c r="A11" t="str">
        <f>"470033"</f>
        <v>470033</v>
      </c>
      <c r="B11" t="s">
        <v>3</v>
      </c>
      <c r="C11">
        <v>102</v>
      </c>
    </row>
    <row r="12" spans="1:3">
      <c r="A12" t="str">
        <f>"470034"</f>
        <v>470034</v>
      </c>
      <c r="B12" t="s">
        <v>3</v>
      </c>
      <c r="C12">
        <v>102</v>
      </c>
    </row>
    <row r="13" spans="1:3">
      <c r="A13" t="str">
        <f>"470035"</f>
        <v>470035</v>
      </c>
      <c r="B13" t="s">
        <v>3</v>
      </c>
      <c r="C13">
        <v>102</v>
      </c>
    </row>
    <row r="14" spans="1:3">
      <c r="A14" t="str">
        <f>"470036"</f>
        <v>470036</v>
      </c>
      <c r="B14" t="s">
        <v>3</v>
      </c>
      <c r="C14">
        <v>102</v>
      </c>
    </row>
    <row r="15" spans="1:3">
      <c r="A15" t="str">
        <f>"470037"</f>
        <v>470037</v>
      </c>
      <c r="B15" t="s">
        <v>3</v>
      </c>
      <c r="C15">
        <v>102</v>
      </c>
    </row>
    <row r="16" spans="1:3">
      <c r="A16" t="str">
        <f>"470038"</f>
        <v>470038</v>
      </c>
      <c r="B16" t="s">
        <v>3</v>
      </c>
      <c r="C16">
        <v>102</v>
      </c>
    </row>
    <row r="17" spans="1:3">
      <c r="A17" t="str">
        <f>"470039"</f>
        <v>470039</v>
      </c>
      <c r="B17" t="s">
        <v>3</v>
      </c>
      <c r="C17">
        <v>102</v>
      </c>
    </row>
    <row r="18" spans="1:3">
      <c r="A18" t="str">
        <f>"470040"</f>
        <v>470040</v>
      </c>
      <c r="B18" t="s">
        <v>3</v>
      </c>
      <c r="C18">
        <v>102</v>
      </c>
    </row>
    <row r="19" spans="1:3">
      <c r="A19" t="str">
        <f>"470041"</f>
        <v>470041</v>
      </c>
      <c r="B19" t="s">
        <v>3</v>
      </c>
      <c r="C19">
        <v>102</v>
      </c>
    </row>
    <row r="20" spans="1:3">
      <c r="A20" t="str">
        <f>"470042"</f>
        <v>470042</v>
      </c>
      <c r="B20" t="s">
        <v>3</v>
      </c>
      <c r="C20">
        <v>102</v>
      </c>
    </row>
    <row r="21" spans="1:3">
      <c r="A21" t="str">
        <f>"470043"</f>
        <v>470043</v>
      </c>
      <c r="B21" t="s">
        <v>3</v>
      </c>
      <c r="C21">
        <v>102</v>
      </c>
    </row>
    <row r="22" spans="1:3">
      <c r="A22" t="str">
        <f>"470046"</f>
        <v>470046</v>
      </c>
      <c r="B22" t="s">
        <v>3</v>
      </c>
      <c r="C22">
        <v>102</v>
      </c>
    </row>
    <row r="23" spans="1:3">
      <c r="A23" t="str">
        <f>"470047"</f>
        <v>470047</v>
      </c>
      <c r="B23" t="s">
        <v>3</v>
      </c>
      <c r="C23">
        <v>102</v>
      </c>
    </row>
    <row r="24" spans="1:3">
      <c r="A24" t="str">
        <f>"470048"</f>
        <v>470048</v>
      </c>
      <c r="B24" t="s">
        <v>3</v>
      </c>
      <c r="C24">
        <v>102</v>
      </c>
    </row>
    <row r="25" spans="1:3">
      <c r="A25" t="str">
        <f>"470049"</f>
        <v>470049</v>
      </c>
      <c r="B25" t="s">
        <v>3</v>
      </c>
      <c r="C25">
        <v>102</v>
      </c>
    </row>
    <row r="26" spans="1:3">
      <c r="A26" t="str">
        <f>"470050"</f>
        <v>470050</v>
      </c>
      <c r="B26" t="s">
        <v>3</v>
      </c>
      <c r="C26">
        <v>102</v>
      </c>
    </row>
    <row r="27" spans="1:3">
      <c r="A27" t="str">
        <f>"470051"</f>
        <v>470051</v>
      </c>
      <c r="B27" t="s">
        <v>3</v>
      </c>
      <c r="C27">
        <v>102</v>
      </c>
    </row>
    <row r="28" spans="1:3">
      <c r="A28" t="str">
        <f>"470052"</f>
        <v>470052</v>
      </c>
      <c r="B28" t="s">
        <v>3</v>
      </c>
      <c r="C28">
        <v>102</v>
      </c>
    </row>
    <row r="29" spans="1:3">
      <c r="A29" t="str">
        <f>"470053"</f>
        <v>470053</v>
      </c>
      <c r="B29" t="s">
        <v>3</v>
      </c>
      <c r="C29">
        <v>102</v>
      </c>
    </row>
    <row r="30" spans="1:3">
      <c r="A30" t="str">
        <f>"470054"</f>
        <v>470054</v>
      </c>
      <c r="B30" t="s">
        <v>3</v>
      </c>
      <c r="C30">
        <v>102</v>
      </c>
    </row>
    <row r="31" spans="1:3">
      <c r="A31" t="str">
        <f>"470055"</f>
        <v>470055</v>
      </c>
      <c r="B31" t="s">
        <v>3</v>
      </c>
      <c r="C31">
        <v>102</v>
      </c>
    </row>
    <row r="32" spans="1:3">
      <c r="A32" t="str">
        <f>"470056"</f>
        <v>470056</v>
      </c>
      <c r="B32" t="s">
        <v>3</v>
      </c>
      <c r="C32">
        <v>102</v>
      </c>
    </row>
    <row r="33" spans="1:3">
      <c r="A33" t="str">
        <f>"470057"</f>
        <v>470057</v>
      </c>
      <c r="B33" t="s">
        <v>3</v>
      </c>
      <c r="C33">
        <v>102</v>
      </c>
    </row>
    <row r="34" spans="1:3">
      <c r="A34" t="str">
        <f>"470058"</f>
        <v>470058</v>
      </c>
      <c r="B34" t="s">
        <v>3</v>
      </c>
      <c r="C34">
        <v>102</v>
      </c>
    </row>
    <row r="35" spans="1:3">
      <c r="A35" t="str">
        <f>"470059"</f>
        <v>470059</v>
      </c>
      <c r="B35" t="s">
        <v>3</v>
      </c>
      <c r="C35">
        <v>102</v>
      </c>
    </row>
    <row r="36" spans="1:3">
      <c r="A36" t="str">
        <f>"470060"</f>
        <v>470060</v>
      </c>
      <c r="B36" t="s">
        <v>3</v>
      </c>
      <c r="C36">
        <v>102</v>
      </c>
    </row>
    <row r="37" spans="1:3">
      <c r="A37" t="str">
        <f>"470061"</f>
        <v>470061</v>
      </c>
      <c r="B37" t="s">
        <v>3</v>
      </c>
      <c r="C37">
        <v>102</v>
      </c>
    </row>
    <row r="38" spans="1:3">
      <c r="A38" t="str">
        <f>"470062"</f>
        <v>470062</v>
      </c>
      <c r="B38" t="s">
        <v>3</v>
      </c>
      <c r="C38">
        <v>102</v>
      </c>
    </row>
    <row r="39" spans="1:3">
      <c r="A39" t="str">
        <f>"470063"</f>
        <v>470063</v>
      </c>
      <c r="B39" t="s">
        <v>3</v>
      </c>
      <c r="C39">
        <v>102</v>
      </c>
    </row>
    <row r="40" spans="1:3">
      <c r="A40" t="str">
        <f>"470064"</f>
        <v>470064</v>
      </c>
      <c r="B40" t="s">
        <v>3</v>
      </c>
      <c r="C40">
        <v>102</v>
      </c>
    </row>
    <row r="41" spans="1:3">
      <c r="A41" t="str">
        <f>"470065"</f>
        <v>470065</v>
      </c>
      <c r="B41" t="s">
        <v>3</v>
      </c>
      <c r="C41">
        <v>102</v>
      </c>
    </row>
    <row r="42" spans="1:3">
      <c r="A42" t="str">
        <f>"470067"</f>
        <v>470067</v>
      </c>
      <c r="B42" t="s">
        <v>3</v>
      </c>
      <c r="C42">
        <v>102</v>
      </c>
    </row>
    <row r="43" spans="1:3">
      <c r="A43" t="str">
        <f>"470068"</f>
        <v>470068</v>
      </c>
      <c r="B43" t="s">
        <v>3</v>
      </c>
      <c r="C43">
        <v>102</v>
      </c>
    </row>
    <row r="44" spans="1:3">
      <c r="A44" t="str">
        <f>"470069"</f>
        <v>470069</v>
      </c>
      <c r="B44" t="s">
        <v>3</v>
      </c>
      <c r="C44">
        <v>102</v>
      </c>
    </row>
    <row r="45" spans="1:3">
      <c r="A45" t="str">
        <f>"470070"</f>
        <v>470070</v>
      </c>
      <c r="B45" t="s">
        <v>3</v>
      </c>
      <c r="C45">
        <v>102</v>
      </c>
    </row>
    <row r="46" spans="1:3">
      <c r="A46" t="str">
        <f>"470071"</f>
        <v>470071</v>
      </c>
      <c r="B46" t="s">
        <v>3</v>
      </c>
      <c r="C46">
        <v>102</v>
      </c>
    </row>
    <row r="47" spans="1:3">
      <c r="A47" t="str">
        <f>"470072"</f>
        <v>470072</v>
      </c>
      <c r="B47" t="s">
        <v>3</v>
      </c>
      <c r="C47">
        <v>102</v>
      </c>
    </row>
    <row r="48" spans="1:3">
      <c r="A48" t="str">
        <f>"470074"</f>
        <v>470074</v>
      </c>
      <c r="B48" t="s">
        <v>3</v>
      </c>
      <c r="C48">
        <v>102</v>
      </c>
    </row>
    <row r="49" spans="1:3">
      <c r="A49" t="str">
        <f>"470075"</f>
        <v>470075</v>
      </c>
      <c r="B49" t="s">
        <v>3</v>
      </c>
      <c r="C49">
        <v>102</v>
      </c>
    </row>
    <row r="50" spans="1:3">
      <c r="A50" t="str">
        <f>"470076"</f>
        <v>470076</v>
      </c>
      <c r="B50" t="s">
        <v>3</v>
      </c>
      <c r="C50">
        <v>102</v>
      </c>
    </row>
    <row r="51" spans="1:3">
      <c r="A51" t="str">
        <f>"470077"</f>
        <v>470077</v>
      </c>
      <c r="B51" t="s">
        <v>3</v>
      </c>
      <c r="C51">
        <v>102</v>
      </c>
    </row>
    <row r="52" spans="1:3">
      <c r="A52" t="str">
        <f>"470080"</f>
        <v>470080</v>
      </c>
      <c r="B52" t="s">
        <v>3</v>
      </c>
      <c r="C52">
        <v>102</v>
      </c>
    </row>
    <row r="53" spans="1:3">
      <c r="A53" t="str">
        <f>"471001"</f>
        <v>471001</v>
      </c>
      <c r="B53" t="s">
        <v>3</v>
      </c>
      <c r="C53">
        <v>102</v>
      </c>
    </row>
    <row r="54" spans="1:3">
      <c r="A54" t="str">
        <f>"471002"</f>
        <v>471002</v>
      </c>
      <c r="B54" t="s">
        <v>3</v>
      </c>
      <c r="C54">
        <v>102</v>
      </c>
    </row>
    <row r="55" spans="1:3">
      <c r="A55" t="str">
        <f>"471004"</f>
        <v>471004</v>
      </c>
      <c r="B55" t="s">
        <v>3</v>
      </c>
      <c r="C55">
        <v>102</v>
      </c>
    </row>
    <row r="56" spans="1:3">
      <c r="A56" t="str">
        <f>"480001"</f>
        <v>480001</v>
      </c>
      <c r="B56" t="s">
        <v>3</v>
      </c>
      <c r="C56">
        <v>102</v>
      </c>
    </row>
    <row r="57" spans="1:3">
      <c r="A57" t="str">
        <f>"480002"</f>
        <v>480002</v>
      </c>
      <c r="B57" t="s">
        <v>3</v>
      </c>
      <c r="C57">
        <v>102</v>
      </c>
    </row>
    <row r="58" spans="1:3">
      <c r="A58" t="str">
        <f>"480003"</f>
        <v>480003</v>
      </c>
      <c r="B58" t="s">
        <v>3</v>
      </c>
      <c r="C58">
        <v>102</v>
      </c>
    </row>
    <row r="59" spans="1:3">
      <c r="A59" t="str">
        <f>"480004"</f>
        <v>480004</v>
      </c>
      <c r="B59" t="s">
        <v>3</v>
      </c>
      <c r="C59">
        <v>102</v>
      </c>
    </row>
    <row r="60" spans="1:3">
      <c r="A60" t="str">
        <f>"480005"</f>
        <v>480005</v>
      </c>
      <c r="B60" t="s">
        <v>3</v>
      </c>
      <c r="C60">
        <v>102</v>
      </c>
    </row>
    <row r="61" spans="1:3">
      <c r="A61" t="str">
        <f>"480006"</f>
        <v>480006</v>
      </c>
      <c r="B61" t="s">
        <v>3</v>
      </c>
      <c r="C61">
        <v>102</v>
      </c>
    </row>
    <row r="62" spans="1:3">
      <c r="A62" t="str">
        <f>"480007"</f>
        <v>480007</v>
      </c>
      <c r="B62" t="s">
        <v>3</v>
      </c>
      <c r="C62">
        <v>102</v>
      </c>
    </row>
    <row r="63" spans="1:3">
      <c r="A63" t="str">
        <f>"480008"</f>
        <v>480008</v>
      </c>
      <c r="B63" t="s">
        <v>3</v>
      </c>
      <c r="C63">
        <v>102</v>
      </c>
    </row>
    <row r="64" spans="1:3">
      <c r="A64" t="str">
        <f>"480009"</f>
        <v>480009</v>
      </c>
      <c r="B64" t="s">
        <v>3</v>
      </c>
      <c r="C64">
        <v>102</v>
      </c>
    </row>
    <row r="65" spans="1:3">
      <c r="A65" t="str">
        <f>"480010"</f>
        <v>480010</v>
      </c>
      <c r="B65" t="s">
        <v>3</v>
      </c>
      <c r="C65">
        <v>102</v>
      </c>
    </row>
    <row r="66" spans="1:3">
      <c r="A66" t="str">
        <f>"480011"</f>
        <v>480011</v>
      </c>
      <c r="B66" t="s">
        <v>3</v>
      </c>
      <c r="C66">
        <v>102</v>
      </c>
    </row>
    <row r="67" spans="1:3">
      <c r="A67" t="str">
        <f>"480012"</f>
        <v>480012</v>
      </c>
      <c r="B67" t="s">
        <v>3</v>
      </c>
      <c r="C67">
        <v>102</v>
      </c>
    </row>
    <row r="68" spans="1:3">
      <c r="A68" t="str">
        <f>"480013"</f>
        <v>480013</v>
      </c>
      <c r="B68" t="s">
        <v>3</v>
      </c>
      <c r="C68">
        <v>102</v>
      </c>
    </row>
    <row r="69" spans="1:3">
      <c r="A69" t="str">
        <f>"480014"</f>
        <v>480014</v>
      </c>
      <c r="B69" t="s">
        <v>3</v>
      </c>
      <c r="C69">
        <v>102</v>
      </c>
    </row>
    <row r="70" spans="1:3">
      <c r="A70" t="str">
        <f>"480015"</f>
        <v>480015</v>
      </c>
      <c r="B70" t="s">
        <v>3</v>
      </c>
      <c r="C70">
        <v>102</v>
      </c>
    </row>
    <row r="71" spans="1:3">
      <c r="A71" t="str">
        <f>"480016"</f>
        <v>480016</v>
      </c>
      <c r="B71" t="s">
        <v>3</v>
      </c>
      <c r="C71">
        <v>102</v>
      </c>
    </row>
    <row r="72" spans="1:3">
      <c r="A72" t="str">
        <f>"480017"</f>
        <v>480017</v>
      </c>
      <c r="B72" t="s">
        <v>3</v>
      </c>
      <c r="C72">
        <v>102</v>
      </c>
    </row>
    <row r="73" spans="1:3">
      <c r="A73" t="str">
        <f>"480019"</f>
        <v>480019</v>
      </c>
      <c r="B73" t="s">
        <v>3</v>
      </c>
      <c r="C73">
        <v>102</v>
      </c>
    </row>
    <row r="74" spans="1:3">
      <c r="A74" t="str">
        <f>"480020"</f>
        <v>480020</v>
      </c>
      <c r="B74" t="s">
        <v>3</v>
      </c>
      <c r="C74">
        <v>102</v>
      </c>
    </row>
    <row r="75" spans="1:3">
      <c r="A75" t="str">
        <f>"480021"</f>
        <v>480021</v>
      </c>
      <c r="B75" t="s">
        <v>3</v>
      </c>
      <c r="C75">
        <v>102</v>
      </c>
    </row>
    <row r="76" spans="1:3">
      <c r="A76" t="str">
        <f>"480023"</f>
        <v>480023</v>
      </c>
      <c r="B76" t="s">
        <v>3</v>
      </c>
      <c r="C76">
        <v>102</v>
      </c>
    </row>
    <row r="77" spans="1:3">
      <c r="A77" t="str">
        <f>"480024"</f>
        <v>480024</v>
      </c>
      <c r="B77" t="s">
        <v>3</v>
      </c>
      <c r="C77">
        <v>102</v>
      </c>
    </row>
    <row r="78" spans="1:3">
      <c r="A78" t="str">
        <f>"480026"</f>
        <v>480026</v>
      </c>
      <c r="B78" t="s">
        <v>3</v>
      </c>
      <c r="C78">
        <v>102</v>
      </c>
    </row>
    <row r="79" spans="1:3">
      <c r="A79" t="str">
        <f>"480027"</f>
        <v>480027</v>
      </c>
      <c r="B79" t="s">
        <v>3</v>
      </c>
      <c r="C79">
        <v>102</v>
      </c>
    </row>
    <row r="80" spans="1:3">
      <c r="A80" t="str">
        <f>"480028"</f>
        <v>480028</v>
      </c>
      <c r="B80" t="s">
        <v>3</v>
      </c>
      <c r="C80">
        <v>102</v>
      </c>
    </row>
    <row r="81" spans="1:3">
      <c r="A81" t="str">
        <f>"480030"</f>
        <v>480030</v>
      </c>
      <c r="B81" t="s">
        <v>3</v>
      </c>
      <c r="C81">
        <v>102</v>
      </c>
    </row>
    <row r="82" spans="1:3">
      <c r="A82" t="str">
        <f>"480032"</f>
        <v>480032</v>
      </c>
      <c r="B82" t="s">
        <v>3</v>
      </c>
      <c r="C82">
        <v>102</v>
      </c>
    </row>
    <row r="83" spans="1:3">
      <c r="A83" t="str">
        <f>"480033"</f>
        <v>480033</v>
      </c>
      <c r="B83" t="s">
        <v>3</v>
      </c>
      <c r="C83">
        <v>102</v>
      </c>
    </row>
    <row r="84" spans="1:3">
      <c r="A84" t="str">
        <f>"480034"</f>
        <v>480034</v>
      </c>
      <c r="B84" t="s">
        <v>3</v>
      </c>
      <c r="C84">
        <v>102</v>
      </c>
    </row>
    <row r="85" spans="1:3">
      <c r="A85" t="str">
        <f>"480035"</f>
        <v>480035</v>
      </c>
      <c r="B85" t="s">
        <v>3</v>
      </c>
      <c r="C85">
        <v>102</v>
      </c>
    </row>
    <row r="86" spans="1:3">
      <c r="A86" t="str">
        <f>"480036"</f>
        <v>480036</v>
      </c>
      <c r="B86" t="s">
        <v>3</v>
      </c>
      <c r="C86">
        <v>102</v>
      </c>
    </row>
    <row r="87" spans="1:3">
      <c r="A87" t="str">
        <f>"480037"</f>
        <v>480037</v>
      </c>
      <c r="B87" t="s">
        <v>3</v>
      </c>
      <c r="C87">
        <v>102</v>
      </c>
    </row>
    <row r="88" spans="1:3">
      <c r="A88" t="str">
        <f>"480038"</f>
        <v>480038</v>
      </c>
      <c r="B88" t="s">
        <v>3</v>
      </c>
      <c r="C88">
        <v>102</v>
      </c>
    </row>
    <row r="89" spans="1:3">
      <c r="A89" t="str">
        <f>"480039"</f>
        <v>480039</v>
      </c>
      <c r="B89" t="s">
        <v>3</v>
      </c>
      <c r="C89">
        <v>102</v>
      </c>
    </row>
    <row r="90" spans="1:3">
      <c r="A90" t="str">
        <f>"480043"</f>
        <v>480043</v>
      </c>
      <c r="B90" t="s">
        <v>3</v>
      </c>
      <c r="C90">
        <v>102</v>
      </c>
    </row>
    <row r="91" spans="1:3">
      <c r="A91" t="str">
        <f>"480046"</f>
        <v>480046</v>
      </c>
      <c r="B91" t="s">
        <v>3</v>
      </c>
      <c r="C91">
        <v>102</v>
      </c>
    </row>
    <row r="92" spans="1:3">
      <c r="A92" t="str">
        <f>"480047"</f>
        <v>480047</v>
      </c>
      <c r="B92" t="s">
        <v>3</v>
      </c>
      <c r="C92">
        <v>102</v>
      </c>
    </row>
    <row r="93" spans="1:3">
      <c r="A93" t="str">
        <f>"480048"</f>
        <v>480048</v>
      </c>
      <c r="B93" t="s">
        <v>3</v>
      </c>
      <c r="C93">
        <v>102</v>
      </c>
    </row>
    <row r="94" spans="1:3">
      <c r="A94" t="str">
        <f>"480052"</f>
        <v>480052</v>
      </c>
      <c r="B94" t="s">
        <v>3</v>
      </c>
      <c r="C94">
        <v>102</v>
      </c>
    </row>
    <row r="95" spans="1:3">
      <c r="A95" t="str">
        <f>"480053"</f>
        <v>480053</v>
      </c>
      <c r="B95" t="s">
        <v>3</v>
      </c>
      <c r="C95">
        <v>102</v>
      </c>
    </row>
    <row r="96" spans="1:3">
      <c r="A96" t="str">
        <f>"480055"</f>
        <v>480055</v>
      </c>
      <c r="B96" t="s">
        <v>3</v>
      </c>
      <c r="C96">
        <v>102</v>
      </c>
    </row>
    <row r="97" spans="1:3">
      <c r="A97" t="str">
        <f>"480056"</f>
        <v>480056</v>
      </c>
      <c r="B97" t="s">
        <v>3</v>
      </c>
      <c r="C97">
        <v>102</v>
      </c>
    </row>
    <row r="98" spans="1:3">
      <c r="A98" t="str">
        <f>"480057"</f>
        <v>480057</v>
      </c>
      <c r="B98" t="s">
        <v>3</v>
      </c>
      <c r="C98">
        <v>102</v>
      </c>
    </row>
    <row r="99" spans="1:3">
      <c r="A99" t="str">
        <f>"480058"</f>
        <v>480058</v>
      </c>
      <c r="B99" t="s">
        <v>3</v>
      </c>
      <c r="C99">
        <v>102</v>
      </c>
    </row>
    <row r="100" spans="1:3">
      <c r="A100" t="str">
        <f>"480059"</f>
        <v>480059</v>
      </c>
      <c r="B100" t="s">
        <v>3</v>
      </c>
      <c r="C100">
        <v>102</v>
      </c>
    </row>
    <row r="101" spans="1:3">
      <c r="A101" t="str">
        <f>"480063"</f>
        <v>480063</v>
      </c>
      <c r="B101" t="s">
        <v>3</v>
      </c>
      <c r="C101">
        <v>102</v>
      </c>
    </row>
    <row r="102" spans="1:3">
      <c r="A102" t="str">
        <f>"480065"</f>
        <v>480065</v>
      </c>
      <c r="B102" t="s">
        <v>3</v>
      </c>
      <c r="C102">
        <v>102</v>
      </c>
    </row>
    <row r="103" spans="1:3">
      <c r="A103" t="str">
        <f>"480068"</f>
        <v>480068</v>
      </c>
      <c r="B103" t="s">
        <v>3</v>
      </c>
      <c r="C103">
        <v>102</v>
      </c>
    </row>
    <row r="104" spans="1:3">
      <c r="A104" t="str">
        <f>"480069"</f>
        <v>480069</v>
      </c>
      <c r="B104" t="s">
        <v>3</v>
      </c>
      <c r="C104">
        <v>102</v>
      </c>
    </row>
    <row r="105" spans="1:3">
      <c r="A105" t="str">
        <f>"480070"</f>
        <v>480070</v>
      </c>
      <c r="B105" t="s">
        <v>3</v>
      </c>
      <c r="C105">
        <v>102</v>
      </c>
    </row>
    <row r="106" spans="1:3">
      <c r="A106" t="str">
        <f>"480071"</f>
        <v>480071</v>
      </c>
      <c r="B106" t="s">
        <v>3</v>
      </c>
      <c r="C106">
        <v>102</v>
      </c>
    </row>
    <row r="107" spans="1:3">
      <c r="A107" t="str">
        <f>"480072"</f>
        <v>480072</v>
      </c>
      <c r="B107" t="s">
        <v>3</v>
      </c>
      <c r="C107">
        <v>102</v>
      </c>
    </row>
    <row r="108" spans="1:3">
      <c r="A108" t="str">
        <f>"480073"</f>
        <v>480073</v>
      </c>
      <c r="B108" t="s">
        <v>3</v>
      </c>
      <c r="C108">
        <v>102</v>
      </c>
    </row>
    <row r="109" spans="1:3">
      <c r="A109" t="str">
        <f>"480075"</f>
        <v>480075</v>
      </c>
      <c r="B109" t="s">
        <v>3</v>
      </c>
      <c r="C109">
        <v>102</v>
      </c>
    </row>
    <row r="110" spans="1:3">
      <c r="A110" t="str">
        <f>"480076"</f>
        <v>480076</v>
      </c>
      <c r="B110" t="s">
        <v>3</v>
      </c>
      <c r="C110">
        <v>102</v>
      </c>
    </row>
    <row r="111" spans="1:3">
      <c r="A111" t="str">
        <f>"480077"</f>
        <v>480077</v>
      </c>
      <c r="B111" t="s">
        <v>3</v>
      </c>
      <c r="C111">
        <v>102</v>
      </c>
    </row>
    <row r="112" spans="1:3">
      <c r="A112" t="str">
        <f>"480150"</f>
        <v>480150</v>
      </c>
      <c r="B112" t="s">
        <v>3</v>
      </c>
      <c r="C112">
        <v>102</v>
      </c>
    </row>
    <row r="113" spans="1:3">
      <c r="A113" t="str">
        <f>"480532"</f>
        <v>480532</v>
      </c>
      <c r="B113" t="s">
        <v>3</v>
      </c>
      <c r="C113">
        <v>102</v>
      </c>
    </row>
    <row r="114" spans="1:3">
      <c r="A114" t="str">
        <f>"483001"</f>
        <v>483001</v>
      </c>
      <c r="B114" t="s">
        <v>3</v>
      </c>
      <c r="C114">
        <v>102</v>
      </c>
    </row>
    <row r="115" spans="1:3">
      <c r="A115" t="str">
        <f>"483002"</f>
        <v>483002</v>
      </c>
      <c r="B115" t="s">
        <v>3</v>
      </c>
      <c r="C115">
        <v>102</v>
      </c>
    </row>
    <row r="116" spans="1:3">
      <c r="A116" t="str">
        <f>"483003"</f>
        <v>483003</v>
      </c>
      <c r="B116" t="s">
        <v>3</v>
      </c>
      <c r="C116">
        <v>102</v>
      </c>
    </row>
    <row r="117" spans="1:3">
      <c r="A117" t="str">
        <f>"483004"</f>
        <v>483004</v>
      </c>
      <c r="B117" t="s">
        <v>3</v>
      </c>
      <c r="C117">
        <v>102</v>
      </c>
    </row>
    <row r="118" spans="1:3">
      <c r="A118" t="str">
        <f>"483005"</f>
        <v>483005</v>
      </c>
      <c r="B118" t="s">
        <v>3</v>
      </c>
      <c r="C118">
        <v>102</v>
      </c>
    </row>
    <row r="119" spans="1:3">
      <c r="A119" t="str">
        <f>"483006"</f>
        <v>483006</v>
      </c>
      <c r="B119" t="s">
        <v>3</v>
      </c>
      <c r="C119">
        <v>102</v>
      </c>
    </row>
    <row r="120" spans="1:3">
      <c r="A120" t="str">
        <f>"483007"</f>
        <v>483007</v>
      </c>
      <c r="B120" t="s">
        <v>3</v>
      </c>
      <c r="C120">
        <v>102</v>
      </c>
    </row>
    <row r="121" spans="1:3">
      <c r="A121" t="str">
        <f>"483008"</f>
        <v>483008</v>
      </c>
      <c r="B121" t="s">
        <v>3</v>
      </c>
      <c r="C121">
        <v>102</v>
      </c>
    </row>
    <row r="122" spans="1:3">
      <c r="A122" t="str">
        <f>"483009"</f>
        <v>483009</v>
      </c>
      <c r="B122" t="s">
        <v>3</v>
      </c>
      <c r="C122">
        <v>102</v>
      </c>
    </row>
    <row r="123" spans="1:3">
      <c r="A123" t="str">
        <f>"483010"</f>
        <v>483010</v>
      </c>
      <c r="B123" t="s">
        <v>3</v>
      </c>
      <c r="C123">
        <v>102</v>
      </c>
    </row>
    <row r="124" spans="1:3">
      <c r="A124" t="str">
        <f>"483011"</f>
        <v>483011</v>
      </c>
      <c r="B124" t="s">
        <v>3</v>
      </c>
      <c r="C124">
        <v>102</v>
      </c>
    </row>
    <row r="125" spans="1:3">
      <c r="A125" t="str">
        <f>"483012"</f>
        <v>483012</v>
      </c>
      <c r="B125" t="s">
        <v>3</v>
      </c>
      <c r="C125">
        <v>102</v>
      </c>
    </row>
    <row r="126" spans="1:3">
      <c r="A126" t="str">
        <f>"483013"</f>
        <v>483013</v>
      </c>
      <c r="B126" t="s">
        <v>3</v>
      </c>
      <c r="C126">
        <v>102</v>
      </c>
    </row>
    <row r="127" spans="1:3">
      <c r="A127" t="str">
        <f>"483014"</f>
        <v>483014</v>
      </c>
      <c r="B127" t="s">
        <v>3</v>
      </c>
      <c r="C127">
        <v>102</v>
      </c>
    </row>
    <row r="128" spans="1:3">
      <c r="A128" t="str">
        <f>"483015"</f>
        <v>483015</v>
      </c>
      <c r="B128" t="s">
        <v>3</v>
      </c>
      <c r="C128">
        <v>102</v>
      </c>
    </row>
    <row r="129" spans="1:3">
      <c r="A129" t="str">
        <f>"483016"</f>
        <v>483016</v>
      </c>
      <c r="B129" t="s">
        <v>3</v>
      </c>
      <c r="C129">
        <v>102</v>
      </c>
    </row>
    <row r="130" spans="1:3">
      <c r="A130" t="str">
        <f>"483017"</f>
        <v>483017</v>
      </c>
      <c r="B130" t="s">
        <v>3</v>
      </c>
      <c r="C130">
        <v>102</v>
      </c>
    </row>
    <row r="131" spans="1:3">
      <c r="A131" t="str">
        <f>"483018"</f>
        <v>483018</v>
      </c>
      <c r="B131" t="s">
        <v>3</v>
      </c>
      <c r="C131">
        <v>102</v>
      </c>
    </row>
    <row r="132" spans="1:3">
      <c r="A132" t="str">
        <f>"483019"</f>
        <v>483019</v>
      </c>
      <c r="B132" t="s">
        <v>3</v>
      </c>
      <c r="C132">
        <v>102</v>
      </c>
    </row>
    <row r="133" spans="1:3">
      <c r="A133" t="str">
        <f>"483020"</f>
        <v>483020</v>
      </c>
      <c r="B133" t="s">
        <v>3</v>
      </c>
      <c r="C133">
        <v>102</v>
      </c>
    </row>
    <row r="134" spans="1:3">
      <c r="A134" t="str">
        <f>"483021"</f>
        <v>483021</v>
      </c>
      <c r="B134" t="s">
        <v>3</v>
      </c>
      <c r="C134">
        <v>102</v>
      </c>
    </row>
    <row r="135" spans="1:3">
      <c r="A135" t="str">
        <f>"483022"</f>
        <v>483022</v>
      </c>
      <c r="B135" t="s">
        <v>3</v>
      </c>
      <c r="C135">
        <v>102</v>
      </c>
    </row>
    <row r="136" spans="1:3">
      <c r="A136" t="str">
        <f>"483023"</f>
        <v>483023</v>
      </c>
      <c r="B136" t="s">
        <v>3</v>
      </c>
      <c r="C136">
        <v>102</v>
      </c>
    </row>
    <row r="137" spans="1:3">
      <c r="A137" t="str">
        <f>"483024"</f>
        <v>483024</v>
      </c>
      <c r="B137" t="s">
        <v>3</v>
      </c>
      <c r="C137">
        <v>102</v>
      </c>
    </row>
    <row r="138" spans="1:3">
      <c r="A138" t="str">
        <f>"483025"</f>
        <v>483025</v>
      </c>
      <c r="B138" t="s">
        <v>3</v>
      </c>
      <c r="C138">
        <v>102</v>
      </c>
    </row>
    <row r="139" spans="1:3">
      <c r="A139" t="str">
        <f>"483026"</f>
        <v>483026</v>
      </c>
      <c r="B139" t="s">
        <v>3</v>
      </c>
      <c r="C139">
        <v>102</v>
      </c>
    </row>
    <row r="140" spans="1:3">
      <c r="A140" t="str">
        <f>"483027"</f>
        <v>483027</v>
      </c>
      <c r="B140" t="s">
        <v>3</v>
      </c>
      <c r="C140">
        <v>102</v>
      </c>
    </row>
    <row r="141" spans="1:3">
      <c r="A141" t="str">
        <f>"483028"</f>
        <v>483028</v>
      </c>
      <c r="B141" t="s">
        <v>3</v>
      </c>
      <c r="C141">
        <v>102</v>
      </c>
    </row>
    <row r="142" spans="1:3">
      <c r="A142" t="str">
        <f>"483029"</f>
        <v>483029</v>
      </c>
      <c r="B142" t="s">
        <v>3</v>
      </c>
      <c r="C142">
        <v>102</v>
      </c>
    </row>
    <row r="143" spans="1:3">
      <c r="A143" t="str">
        <f>"483030"</f>
        <v>483030</v>
      </c>
      <c r="B143" t="s">
        <v>3</v>
      </c>
      <c r="C143">
        <v>102</v>
      </c>
    </row>
    <row r="144" spans="1:3">
      <c r="A144" t="str">
        <f>"483031"</f>
        <v>483031</v>
      </c>
      <c r="B144" t="s">
        <v>3</v>
      </c>
      <c r="C144">
        <v>102</v>
      </c>
    </row>
    <row r="145" spans="1:3">
      <c r="A145" t="str">
        <f>"483032"</f>
        <v>483032</v>
      </c>
      <c r="B145" t="s">
        <v>3</v>
      </c>
      <c r="C145">
        <v>102</v>
      </c>
    </row>
    <row r="146" spans="1:3">
      <c r="A146" t="str">
        <f>"483033"</f>
        <v>483033</v>
      </c>
      <c r="B146" t="s">
        <v>3</v>
      </c>
      <c r="C146">
        <v>102</v>
      </c>
    </row>
    <row r="147" spans="1:3">
      <c r="A147" t="str">
        <f>"483034"</f>
        <v>483034</v>
      </c>
      <c r="B147" t="s">
        <v>3</v>
      </c>
      <c r="C147">
        <v>102</v>
      </c>
    </row>
    <row r="148" spans="1:3">
      <c r="A148" t="str">
        <f>"483035"</f>
        <v>483035</v>
      </c>
      <c r="B148" t="s">
        <v>3</v>
      </c>
      <c r="C148">
        <v>102</v>
      </c>
    </row>
    <row r="149" spans="1:3">
      <c r="A149" t="str">
        <f>"483036"</f>
        <v>483036</v>
      </c>
      <c r="B149" t="s">
        <v>3</v>
      </c>
      <c r="C149">
        <v>102</v>
      </c>
    </row>
    <row r="150" spans="1:3">
      <c r="A150" t="str">
        <f>"483037"</f>
        <v>483037</v>
      </c>
      <c r="B150" t="s">
        <v>3</v>
      </c>
      <c r="C150">
        <v>102</v>
      </c>
    </row>
    <row r="151" spans="1:3">
      <c r="A151" t="str">
        <f>"483038"</f>
        <v>483038</v>
      </c>
      <c r="B151" t="s">
        <v>3</v>
      </c>
      <c r="C151">
        <v>102</v>
      </c>
    </row>
    <row r="152" spans="1:3">
      <c r="A152" t="str">
        <f>"483039"</f>
        <v>483039</v>
      </c>
      <c r="B152" t="s">
        <v>3</v>
      </c>
      <c r="C152">
        <v>102</v>
      </c>
    </row>
    <row r="153" spans="1:3">
      <c r="A153" t="str">
        <f>"483040"</f>
        <v>483040</v>
      </c>
      <c r="B153" t="s">
        <v>3</v>
      </c>
      <c r="C153">
        <v>102</v>
      </c>
    </row>
    <row r="154" spans="1:3">
      <c r="A154" t="str">
        <f>"483041"</f>
        <v>483041</v>
      </c>
      <c r="B154" t="s">
        <v>3</v>
      </c>
      <c r="C154">
        <v>102</v>
      </c>
    </row>
    <row r="155" spans="1:3">
      <c r="A155" t="str">
        <f>"483042"</f>
        <v>483042</v>
      </c>
      <c r="B155" t="s">
        <v>3</v>
      </c>
      <c r="C155">
        <v>102</v>
      </c>
    </row>
    <row r="156" spans="1:3">
      <c r="A156" t="str">
        <f>"483043"</f>
        <v>483043</v>
      </c>
      <c r="B156" t="s">
        <v>3</v>
      </c>
      <c r="C156">
        <v>102</v>
      </c>
    </row>
    <row r="157" spans="1:3">
      <c r="A157" t="str">
        <f>"483044"</f>
        <v>483044</v>
      </c>
      <c r="B157" t="s">
        <v>3</v>
      </c>
      <c r="C157">
        <v>102</v>
      </c>
    </row>
    <row r="158" spans="1:3">
      <c r="A158" t="str">
        <f>"483045"</f>
        <v>483045</v>
      </c>
      <c r="B158" t="s">
        <v>3</v>
      </c>
      <c r="C158">
        <v>102</v>
      </c>
    </row>
    <row r="159" spans="1:3">
      <c r="A159" t="str">
        <f>"483046"</f>
        <v>483046</v>
      </c>
      <c r="B159" t="s">
        <v>3</v>
      </c>
      <c r="C159">
        <v>102</v>
      </c>
    </row>
    <row r="160" spans="1:3">
      <c r="A160" t="str">
        <f>"483047"</f>
        <v>483047</v>
      </c>
      <c r="B160" t="s">
        <v>3</v>
      </c>
      <c r="C160">
        <v>102</v>
      </c>
    </row>
    <row r="161" spans="1:3">
      <c r="A161" t="str">
        <f>"483048"</f>
        <v>483048</v>
      </c>
      <c r="B161" t="s">
        <v>3</v>
      </c>
      <c r="C161">
        <v>102</v>
      </c>
    </row>
    <row r="162" spans="1:3">
      <c r="A162" t="str">
        <f>"483049"</f>
        <v>483049</v>
      </c>
      <c r="B162" t="s">
        <v>3</v>
      </c>
      <c r="C162">
        <v>102</v>
      </c>
    </row>
    <row r="163" spans="1:3">
      <c r="A163" t="str">
        <f>"483050"</f>
        <v>483050</v>
      </c>
      <c r="B163" t="s">
        <v>3</v>
      </c>
      <c r="C163">
        <v>102</v>
      </c>
    </row>
    <row r="164" spans="1:3">
      <c r="A164" t="str">
        <f>"483051"</f>
        <v>483051</v>
      </c>
      <c r="B164" t="s">
        <v>3</v>
      </c>
      <c r="C164">
        <v>102</v>
      </c>
    </row>
    <row r="165" spans="1:3">
      <c r="A165" t="str">
        <f>"483052"</f>
        <v>483052</v>
      </c>
      <c r="B165" t="s">
        <v>3</v>
      </c>
      <c r="C165">
        <v>102</v>
      </c>
    </row>
    <row r="166" spans="1:3">
      <c r="A166" t="str">
        <f>"483053"</f>
        <v>483053</v>
      </c>
      <c r="B166" t="s">
        <v>3</v>
      </c>
      <c r="C166">
        <v>102</v>
      </c>
    </row>
    <row r="167" spans="1:3">
      <c r="A167" t="str">
        <f>"483054"</f>
        <v>483054</v>
      </c>
      <c r="B167" t="s">
        <v>3</v>
      </c>
      <c r="C167">
        <v>102</v>
      </c>
    </row>
    <row r="168" spans="1:3">
      <c r="A168" t="str">
        <f>"483055"</f>
        <v>483055</v>
      </c>
      <c r="B168" t="s">
        <v>3</v>
      </c>
      <c r="C168">
        <v>102</v>
      </c>
    </row>
    <row r="169" spans="1:3">
      <c r="A169" t="str">
        <f>"483056"</f>
        <v>483056</v>
      </c>
      <c r="B169" t="s">
        <v>3</v>
      </c>
      <c r="C169">
        <v>102</v>
      </c>
    </row>
    <row r="170" spans="1:3">
      <c r="A170" t="str">
        <f>"483057"</f>
        <v>483057</v>
      </c>
      <c r="B170" t="s">
        <v>3</v>
      </c>
      <c r="C170">
        <v>102</v>
      </c>
    </row>
    <row r="171" spans="1:3">
      <c r="A171" t="str">
        <f>"483058"</f>
        <v>483058</v>
      </c>
      <c r="B171" t="s">
        <v>3</v>
      </c>
      <c r="C171">
        <v>102</v>
      </c>
    </row>
    <row r="172" spans="1:3">
      <c r="A172" t="str">
        <f>"483059"</f>
        <v>483059</v>
      </c>
      <c r="B172" t="s">
        <v>3</v>
      </c>
      <c r="C172">
        <v>102</v>
      </c>
    </row>
    <row r="173" spans="1:3">
      <c r="A173" t="str">
        <f>"483060"</f>
        <v>483060</v>
      </c>
      <c r="B173" t="s">
        <v>3</v>
      </c>
      <c r="C173">
        <v>102</v>
      </c>
    </row>
    <row r="174" spans="1:3">
      <c r="A174" t="str">
        <f>"483061"</f>
        <v>483061</v>
      </c>
      <c r="B174" t="s">
        <v>3</v>
      </c>
      <c r="C174">
        <v>102</v>
      </c>
    </row>
    <row r="175" spans="1:3">
      <c r="A175" t="str">
        <f>"483062"</f>
        <v>483062</v>
      </c>
      <c r="B175" t="s">
        <v>3</v>
      </c>
      <c r="C175">
        <v>102</v>
      </c>
    </row>
    <row r="176" spans="1:3">
      <c r="A176" t="str">
        <f>"483063"</f>
        <v>483063</v>
      </c>
      <c r="B176" t="s">
        <v>3</v>
      </c>
      <c r="C176">
        <v>102</v>
      </c>
    </row>
    <row r="177" spans="1:3">
      <c r="A177" t="str">
        <f>"483064"</f>
        <v>483064</v>
      </c>
      <c r="B177" t="s">
        <v>3</v>
      </c>
      <c r="C177">
        <v>102</v>
      </c>
    </row>
    <row r="178" spans="1:3">
      <c r="A178" t="str">
        <f>"483065"</f>
        <v>483065</v>
      </c>
      <c r="B178" t="s">
        <v>3</v>
      </c>
      <c r="C178">
        <v>102</v>
      </c>
    </row>
    <row r="179" spans="1:3">
      <c r="A179" t="str">
        <f>"483066"</f>
        <v>483066</v>
      </c>
      <c r="B179" t="s">
        <v>3</v>
      </c>
      <c r="C179">
        <v>102</v>
      </c>
    </row>
    <row r="180" spans="1:3">
      <c r="A180" t="str">
        <f>"483067"</f>
        <v>483067</v>
      </c>
      <c r="B180" t="s">
        <v>3</v>
      </c>
      <c r="C180">
        <v>102</v>
      </c>
    </row>
    <row r="181" spans="1:3">
      <c r="A181" t="str">
        <f>"483068"</f>
        <v>483068</v>
      </c>
      <c r="B181" t="s">
        <v>3</v>
      </c>
      <c r="C181">
        <v>102</v>
      </c>
    </row>
    <row r="182" spans="1:3">
      <c r="A182" t="str">
        <f>"483069"</f>
        <v>483069</v>
      </c>
      <c r="B182" t="s">
        <v>3</v>
      </c>
      <c r="C182">
        <v>102</v>
      </c>
    </row>
    <row r="183" spans="1:3">
      <c r="A183" t="str">
        <f>"483070"</f>
        <v>483070</v>
      </c>
      <c r="B183" t="s">
        <v>3</v>
      </c>
      <c r="C183">
        <v>102</v>
      </c>
    </row>
    <row r="184" spans="1:3">
      <c r="A184" t="str">
        <f>"483071"</f>
        <v>483071</v>
      </c>
      <c r="B184" t="s">
        <v>3</v>
      </c>
      <c r="C184">
        <v>102</v>
      </c>
    </row>
    <row r="185" spans="1:3">
      <c r="A185" t="str">
        <f>"483072"</f>
        <v>483072</v>
      </c>
      <c r="B185" t="s">
        <v>3</v>
      </c>
      <c r="C185">
        <v>102</v>
      </c>
    </row>
    <row r="186" spans="1:3">
      <c r="A186" t="str">
        <f>"483073"</f>
        <v>483073</v>
      </c>
      <c r="B186" t="s">
        <v>3</v>
      </c>
      <c r="C186">
        <v>102</v>
      </c>
    </row>
    <row r="187" spans="1:3">
      <c r="A187" t="str">
        <f>"483074"</f>
        <v>483074</v>
      </c>
      <c r="B187" t="s">
        <v>3</v>
      </c>
      <c r="C187">
        <v>102</v>
      </c>
    </row>
    <row r="188" spans="1:3">
      <c r="A188" t="str">
        <f>"483075"</f>
        <v>483075</v>
      </c>
      <c r="B188" t="s">
        <v>3</v>
      </c>
      <c r="C188">
        <v>102</v>
      </c>
    </row>
    <row r="189" spans="1:3">
      <c r="A189" t="str">
        <f>"483076"</f>
        <v>483076</v>
      </c>
      <c r="B189" t="s">
        <v>3</v>
      </c>
      <c r="C189">
        <v>102</v>
      </c>
    </row>
    <row r="190" spans="1:3">
      <c r="A190" t="str">
        <f>"483077"</f>
        <v>483077</v>
      </c>
      <c r="B190" t="s">
        <v>3</v>
      </c>
      <c r="C190">
        <v>102</v>
      </c>
    </row>
    <row r="191" spans="1:3">
      <c r="A191" t="str">
        <f>"483078"</f>
        <v>483078</v>
      </c>
      <c r="B191" t="s">
        <v>3</v>
      </c>
      <c r="C191">
        <v>102</v>
      </c>
    </row>
    <row r="192" spans="1:3">
      <c r="A192" t="str">
        <f>"483079"</f>
        <v>483079</v>
      </c>
      <c r="B192" t="s">
        <v>3</v>
      </c>
      <c r="C192">
        <v>102</v>
      </c>
    </row>
    <row r="193" spans="1:3">
      <c r="A193" t="str">
        <f>"483080"</f>
        <v>483080</v>
      </c>
      <c r="B193" t="s">
        <v>3</v>
      </c>
      <c r="C193">
        <v>102</v>
      </c>
    </row>
    <row r="194" spans="1:3">
      <c r="A194" t="str">
        <f>"483081"</f>
        <v>483081</v>
      </c>
      <c r="B194" t="s">
        <v>3</v>
      </c>
      <c r="C194">
        <v>102</v>
      </c>
    </row>
    <row r="195" spans="1:3">
      <c r="A195" t="str">
        <f>"483082"</f>
        <v>483082</v>
      </c>
      <c r="B195" t="s">
        <v>3</v>
      </c>
      <c r="C195">
        <v>102</v>
      </c>
    </row>
    <row r="196" spans="1:3">
      <c r="A196" t="str">
        <f>"483083"</f>
        <v>483083</v>
      </c>
      <c r="B196" t="s">
        <v>3</v>
      </c>
      <c r="C196">
        <v>102</v>
      </c>
    </row>
    <row r="197" spans="1:3">
      <c r="A197" t="str">
        <f>"483084"</f>
        <v>483084</v>
      </c>
      <c r="B197" t="s">
        <v>3</v>
      </c>
      <c r="C197">
        <v>102</v>
      </c>
    </row>
    <row r="198" spans="1:3">
      <c r="A198" t="str">
        <f>"483085"</f>
        <v>483085</v>
      </c>
      <c r="B198" t="s">
        <v>3</v>
      </c>
      <c r="C198">
        <v>102</v>
      </c>
    </row>
    <row r="199" spans="1:3">
      <c r="A199" t="str">
        <f>"483086"</f>
        <v>483086</v>
      </c>
      <c r="B199" t="s">
        <v>3</v>
      </c>
      <c r="C199">
        <v>102</v>
      </c>
    </row>
    <row r="200" spans="1:3">
      <c r="A200" t="str">
        <f>"483087"</f>
        <v>483087</v>
      </c>
      <c r="B200" t="s">
        <v>3</v>
      </c>
      <c r="C200">
        <v>102</v>
      </c>
    </row>
    <row r="201" spans="1:3">
      <c r="A201" t="str">
        <f>"483088"</f>
        <v>483088</v>
      </c>
      <c r="B201" t="s">
        <v>3</v>
      </c>
      <c r="C201">
        <v>102</v>
      </c>
    </row>
    <row r="202" spans="1:3">
      <c r="A202" t="str">
        <f>"483089"</f>
        <v>483089</v>
      </c>
      <c r="B202" t="s">
        <v>3</v>
      </c>
      <c r="C202">
        <v>102</v>
      </c>
    </row>
    <row r="203" spans="1:3">
      <c r="A203" t="str">
        <f>"483090"</f>
        <v>483090</v>
      </c>
      <c r="B203" t="s">
        <v>3</v>
      </c>
      <c r="C203">
        <v>102</v>
      </c>
    </row>
    <row r="204" spans="1:3">
      <c r="A204" t="str">
        <f>"483091"</f>
        <v>483091</v>
      </c>
      <c r="B204" t="s">
        <v>3</v>
      </c>
      <c r="C204">
        <v>102</v>
      </c>
    </row>
    <row r="205" spans="1:3">
      <c r="A205" t="str">
        <f>"483092"</f>
        <v>483092</v>
      </c>
      <c r="B205" t="s">
        <v>3</v>
      </c>
      <c r="C205">
        <v>102</v>
      </c>
    </row>
    <row r="206" spans="1:3">
      <c r="A206" t="str">
        <f>"483101"</f>
        <v>483101</v>
      </c>
      <c r="B206" t="s">
        <v>3</v>
      </c>
      <c r="C206">
        <v>102</v>
      </c>
    </row>
    <row r="207" spans="1:3">
      <c r="A207" t="str">
        <f>"483102"</f>
        <v>483102</v>
      </c>
      <c r="B207" t="s">
        <v>3</v>
      </c>
      <c r="C207">
        <v>102</v>
      </c>
    </row>
    <row r="208" spans="1:3">
      <c r="A208" t="str">
        <f>"483103"</f>
        <v>483103</v>
      </c>
      <c r="B208" t="s">
        <v>3</v>
      </c>
      <c r="C208">
        <v>102</v>
      </c>
    </row>
    <row r="209" spans="1:3">
      <c r="A209" t="str">
        <f>"483104"</f>
        <v>483104</v>
      </c>
      <c r="B209" t="s">
        <v>3</v>
      </c>
      <c r="C209">
        <v>102</v>
      </c>
    </row>
    <row r="210" spans="1:3">
      <c r="A210" t="str">
        <f>"483105"</f>
        <v>483105</v>
      </c>
      <c r="B210" t="s">
        <v>3</v>
      </c>
      <c r="C210">
        <v>102</v>
      </c>
    </row>
    <row r="211" spans="1:3">
      <c r="A211" t="str">
        <f>"483106"</f>
        <v>483106</v>
      </c>
      <c r="B211" t="s">
        <v>3</v>
      </c>
      <c r="C211">
        <v>102</v>
      </c>
    </row>
    <row r="212" spans="1:3">
      <c r="A212" t="str">
        <f>"483160"</f>
        <v>483160</v>
      </c>
      <c r="B212" t="s">
        <v>3</v>
      </c>
      <c r="C212">
        <v>102</v>
      </c>
    </row>
    <row r="213" spans="1:3">
      <c r="A213" t="str">
        <f>"483161"</f>
        <v>483161</v>
      </c>
      <c r="B213" t="s">
        <v>3</v>
      </c>
      <c r="C213">
        <v>102</v>
      </c>
    </row>
    <row r="214" spans="1:3">
      <c r="A214" t="str">
        <f>"487001"</f>
        <v>487001</v>
      </c>
      <c r="B214" t="s">
        <v>3</v>
      </c>
      <c r="C214">
        <v>102</v>
      </c>
    </row>
    <row r="215" spans="1:3">
      <c r="A215" t="str">
        <f>"487002"</f>
        <v>487002</v>
      </c>
      <c r="B215" t="s">
        <v>3</v>
      </c>
      <c r="C215">
        <v>102</v>
      </c>
    </row>
    <row r="216" spans="1:3">
      <c r="A216" t="str">
        <f>"487003"</f>
        <v>487003</v>
      </c>
      <c r="B216" t="s">
        <v>3</v>
      </c>
      <c r="C216">
        <v>102</v>
      </c>
    </row>
    <row r="217" spans="1:3">
      <c r="A217" t="str">
        <f>"487004"</f>
        <v>487004</v>
      </c>
      <c r="B217" t="s">
        <v>3</v>
      </c>
      <c r="C217">
        <v>102</v>
      </c>
    </row>
    <row r="218" spans="1:3">
      <c r="A218" t="str">
        <f>"487006"</f>
        <v>487006</v>
      </c>
      <c r="B218" t="s">
        <v>3</v>
      </c>
      <c r="C218">
        <v>102</v>
      </c>
    </row>
    <row r="219" spans="1:3">
      <c r="A219" t="str">
        <f>"487007"</f>
        <v>487007</v>
      </c>
      <c r="B219" t="s">
        <v>3</v>
      </c>
      <c r="C219">
        <v>102</v>
      </c>
    </row>
    <row r="220" spans="1:3">
      <c r="A220" t="str">
        <f>"487010"</f>
        <v>487010</v>
      </c>
      <c r="B220" t="s">
        <v>3</v>
      </c>
      <c r="C220">
        <v>102</v>
      </c>
    </row>
    <row r="221" spans="1:3">
      <c r="A221" t="str">
        <f>"487011"</f>
        <v>487011</v>
      </c>
      <c r="B221" t="s">
        <v>3</v>
      </c>
      <c r="C221">
        <v>102</v>
      </c>
    </row>
    <row r="222" spans="1:3">
      <c r="A222" t="str">
        <f>"487012"</f>
        <v>487012</v>
      </c>
      <c r="B222" t="s">
        <v>3</v>
      </c>
      <c r="C222">
        <v>102</v>
      </c>
    </row>
    <row r="223" spans="1:3">
      <c r="A223" t="str">
        <f>"487013"</f>
        <v>487013</v>
      </c>
      <c r="B223" t="s">
        <v>3</v>
      </c>
      <c r="C223">
        <v>102</v>
      </c>
    </row>
    <row r="224" spans="1:3">
      <c r="A224" t="str">
        <f>"487014"</f>
        <v>487014</v>
      </c>
      <c r="B224" t="s">
        <v>3</v>
      </c>
      <c r="C224">
        <v>102</v>
      </c>
    </row>
    <row r="225" spans="1:3">
      <c r="A225" t="str">
        <f>"487015"</f>
        <v>487015</v>
      </c>
      <c r="B225" t="s">
        <v>3</v>
      </c>
      <c r="C225">
        <v>102</v>
      </c>
    </row>
    <row r="226" spans="1:3">
      <c r="A226" t="str">
        <f>"487016"</f>
        <v>487016</v>
      </c>
      <c r="B226" t="s">
        <v>3</v>
      </c>
      <c r="C226">
        <v>102</v>
      </c>
    </row>
    <row r="227" spans="1:3">
      <c r="A227" t="str">
        <f>"487017"</f>
        <v>487017</v>
      </c>
      <c r="B227" t="s">
        <v>3</v>
      </c>
      <c r="C227">
        <v>102</v>
      </c>
    </row>
    <row r="228" spans="1:3">
      <c r="A228" t="str">
        <f>"487018"</f>
        <v>487018</v>
      </c>
      <c r="B228" t="s">
        <v>3</v>
      </c>
      <c r="C228">
        <v>102</v>
      </c>
    </row>
    <row r="229" spans="1:3">
      <c r="A229" t="str">
        <f>"487019"</f>
        <v>487019</v>
      </c>
      <c r="B229" t="s">
        <v>3</v>
      </c>
      <c r="C229">
        <v>102</v>
      </c>
    </row>
    <row r="230" spans="1:3">
      <c r="A230" t="str">
        <f>"487020"</f>
        <v>487020</v>
      </c>
      <c r="B230" t="s">
        <v>3</v>
      </c>
      <c r="C230">
        <v>102</v>
      </c>
    </row>
    <row r="231" spans="1:3">
      <c r="A231" t="str">
        <f>"487021"</f>
        <v>487021</v>
      </c>
      <c r="B231" t="s">
        <v>3</v>
      </c>
      <c r="C231">
        <v>102</v>
      </c>
    </row>
    <row r="232" spans="1:3">
      <c r="A232" t="str">
        <f>"487026"</f>
        <v>487026</v>
      </c>
      <c r="B232" t="s">
        <v>3</v>
      </c>
      <c r="C232">
        <v>102</v>
      </c>
    </row>
    <row r="233" spans="1:3">
      <c r="A233" t="str">
        <f>"487027"</f>
        <v>487027</v>
      </c>
      <c r="B233" t="s">
        <v>3</v>
      </c>
      <c r="C233">
        <v>102</v>
      </c>
    </row>
    <row r="234" spans="1:3">
      <c r="A234" t="str">
        <f>"970006"</f>
        <v>970006</v>
      </c>
      <c r="B234" t="s">
        <v>3</v>
      </c>
      <c r="C234">
        <v>102</v>
      </c>
    </row>
    <row r="235" spans="1:3">
      <c r="A235" t="str">
        <f>"970007"</f>
        <v>970007</v>
      </c>
      <c r="B235" t="s">
        <v>3</v>
      </c>
      <c r="C235">
        <v>102</v>
      </c>
    </row>
    <row r="236" spans="1:3">
      <c r="A236" t="str">
        <f>"970026"</f>
        <v>970026</v>
      </c>
      <c r="B236" t="s">
        <v>3</v>
      </c>
      <c r="C236">
        <v>102</v>
      </c>
    </row>
    <row r="237" spans="1:3">
      <c r="A237" t="str">
        <f>"970027"</f>
        <v>970027</v>
      </c>
      <c r="B237" t="s">
        <v>3</v>
      </c>
      <c r="C237">
        <v>102</v>
      </c>
    </row>
    <row r="238" spans="1:3">
      <c r="A238" t="str">
        <f>"970028"</f>
        <v>970028</v>
      </c>
      <c r="B238" t="s">
        <v>3</v>
      </c>
      <c r="C238">
        <v>102</v>
      </c>
    </row>
    <row r="239" spans="1:3">
      <c r="A239" t="str">
        <f>"970029"</f>
        <v>970029</v>
      </c>
      <c r="B239" t="s">
        <v>3</v>
      </c>
      <c r="C239">
        <v>102</v>
      </c>
    </row>
    <row r="240" spans="1:3">
      <c r="A240" t="str">
        <f>"970030"</f>
        <v>970030</v>
      </c>
      <c r="B240" t="s">
        <v>3</v>
      </c>
      <c r="C240">
        <v>102</v>
      </c>
    </row>
    <row r="241" spans="1:3">
      <c r="A241" t="str">
        <f>"970031"</f>
        <v>970031</v>
      </c>
      <c r="B241" t="s">
        <v>3</v>
      </c>
      <c r="C241">
        <v>102</v>
      </c>
    </row>
    <row r="242" spans="1:3">
      <c r="A242" t="str">
        <f>"970032"</f>
        <v>970032</v>
      </c>
      <c r="B242" t="s">
        <v>3</v>
      </c>
      <c r="C242">
        <v>102</v>
      </c>
    </row>
    <row r="243" spans="1:3">
      <c r="A243" t="str">
        <f>"970033"</f>
        <v>970033</v>
      </c>
      <c r="B243" t="s">
        <v>3</v>
      </c>
      <c r="C243">
        <v>102</v>
      </c>
    </row>
    <row r="244" spans="1:3">
      <c r="A244" t="str">
        <f>"970034"</f>
        <v>970034</v>
      </c>
      <c r="B244" t="s">
        <v>3</v>
      </c>
      <c r="C244">
        <v>102</v>
      </c>
    </row>
    <row r="245" spans="1:3">
      <c r="A245" t="str">
        <f>"970035"</f>
        <v>970035</v>
      </c>
      <c r="B245" t="s">
        <v>3</v>
      </c>
      <c r="C245">
        <v>102</v>
      </c>
    </row>
    <row r="246" spans="1:3">
      <c r="A246" t="str">
        <f>"970036"</f>
        <v>970036</v>
      </c>
      <c r="B246" t="s">
        <v>3</v>
      </c>
      <c r="C246">
        <v>102</v>
      </c>
    </row>
    <row r="247" spans="1:3">
      <c r="A247" t="str">
        <f>"970037"</f>
        <v>970037</v>
      </c>
      <c r="B247" t="s">
        <v>3</v>
      </c>
      <c r="C247">
        <v>102</v>
      </c>
    </row>
    <row r="248" spans="1:3">
      <c r="A248" t="str">
        <f>"970038"</f>
        <v>970038</v>
      </c>
      <c r="B248" t="s">
        <v>3</v>
      </c>
      <c r="C248">
        <v>102</v>
      </c>
    </row>
    <row r="249" spans="1:3">
      <c r="A249" t="str">
        <f>"970039"</f>
        <v>970039</v>
      </c>
      <c r="B249" t="s">
        <v>3</v>
      </c>
      <c r="C249">
        <v>102</v>
      </c>
    </row>
    <row r="250" spans="1:3">
      <c r="A250" t="str">
        <f>"970040"</f>
        <v>970040</v>
      </c>
      <c r="B250" t="s">
        <v>3</v>
      </c>
      <c r="C250">
        <v>102</v>
      </c>
    </row>
    <row r="251" spans="1:3">
      <c r="A251" t="str">
        <f>"970041"</f>
        <v>970041</v>
      </c>
      <c r="B251" t="s">
        <v>3</v>
      </c>
      <c r="C251">
        <v>102</v>
      </c>
    </row>
    <row r="252" spans="1:3">
      <c r="A252" t="str">
        <f>"970042"</f>
        <v>970042</v>
      </c>
      <c r="B252" t="s">
        <v>3</v>
      </c>
      <c r="C252">
        <v>102</v>
      </c>
    </row>
    <row r="253" spans="1:3">
      <c r="A253" t="str">
        <f>"970043"</f>
        <v>970043</v>
      </c>
      <c r="B253" t="s">
        <v>3</v>
      </c>
      <c r="C253">
        <v>102</v>
      </c>
    </row>
    <row r="254" spans="1:3">
      <c r="A254" t="str">
        <f>"970046"</f>
        <v>970046</v>
      </c>
      <c r="B254" t="s">
        <v>3</v>
      </c>
      <c r="C254">
        <v>102</v>
      </c>
    </row>
    <row r="255" spans="1:3">
      <c r="A255" t="str">
        <f>"970047"</f>
        <v>970047</v>
      </c>
      <c r="B255" t="s">
        <v>3</v>
      </c>
      <c r="C255">
        <v>102</v>
      </c>
    </row>
    <row r="256" spans="1:3">
      <c r="A256" t="str">
        <f>"970048"</f>
        <v>970048</v>
      </c>
      <c r="B256" t="s">
        <v>3</v>
      </c>
      <c r="C256">
        <v>102</v>
      </c>
    </row>
    <row r="257" spans="1:3">
      <c r="A257" t="str">
        <f>"970049"</f>
        <v>970049</v>
      </c>
      <c r="B257" t="s">
        <v>3</v>
      </c>
      <c r="C257">
        <v>102</v>
      </c>
    </row>
    <row r="258" spans="1:3">
      <c r="A258" t="str">
        <f>"970050"</f>
        <v>970050</v>
      </c>
      <c r="B258" t="s">
        <v>3</v>
      </c>
      <c r="C258">
        <v>102</v>
      </c>
    </row>
    <row r="259" spans="1:3">
      <c r="A259" t="str">
        <f>"970051"</f>
        <v>970051</v>
      </c>
      <c r="B259" t="s">
        <v>3</v>
      </c>
      <c r="C259">
        <v>102</v>
      </c>
    </row>
    <row r="260" spans="1:3">
      <c r="A260" t="str">
        <f>"970052"</f>
        <v>970052</v>
      </c>
      <c r="B260" t="s">
        <v>3</v>
      </c>
      <c r="C260">
        <v>102</v>
      </c>
    </row>
    <row r="261" spans="1:3">
      <c r="A261" t="str">
        <f>"970053"</f>
        <v>970053</v>
      </c>
      <c r="B261" t="s">
        <v>3</v>
      </c>
      <c r="C261">
        <v>102</v>
      </c>
    </row>
    <row r="262" spans="1:3">
      <c r="A262" t="str">
        <f>"970054"</f>
        <v>970054</v>
      </c>
      <c r="B262" t="s">
        <v>3</v>
      </c>
      <c r="C262">
        <v>102</v>
      </c>
    </row>
    <row r="263" spans="1:3">
      <c r="A263" t="str">
        <f>"970055"</f>
        <v>970055</v>
      </c>
      <c r="B263" t="s">
        <v>3</v>
      </c>
      <c r="C263">
        <v>102</v>
      </c>
    </row>
    <row r="264" spans="1:3">
      <c r="A264" t="str">
        <f>"970056"</f>
        <v>970056</v>
      </c>
      <c r="B264" t="s">
        <v>3</v>
      </c>
      <c r="C264">
        <v>102</v>
      </c>
    </row>
    <row r="265" spans="1:3">
      <c r="A265" t="str">
        <f>"970057"</f>
        <v>970057</v>
      </c>
      <c r="B265" t="s">
        <v>3</v>
      </c>
      <c r="C265">
        <v>102</v>
      </c>
    </row>
    <row r="266" spans="1:3">
      <c r="A266" t="str">
        <f>"970058"</f>
        <v>970058</v>
      </c>
      <c r="B266" t="s">
        <v>3</v>
      </c>
      <c r="C266">
        <v>102</v>
      </c>
    </row>
    <row r="267" spans="1:3">
      <c r="A267" t="str">
        <f>"970059"</f>
        <v>970059</v>
      </c>
      <c r="B267" t="s">
        <v>3</v>
      </c>
      <c r="C267">
        <v>102</v>
      </c>
    </row>
    <row r="268" spans="1:3">
      <c r="A268" t="str">
        <f>"970060"</f>
        <v>970060</v>
      </c>
      <c r="B268" t="s">
        <v>3</v>
      </c>
      <c r="C268">
        <v>102</v>
      </c>
    </row>
    <row r="269" spans="1:3">
      <c r="A269" t="str">
        <f>"970061"</f>
        <v>970061</v>
      </c>
      <c r="B269" t="s">
        <v>3</v>
      </c>
      <c r="C269">
        <v>102</v>
      </c>
    </row>
    <row r="270" spans="1:3">
      <c r="A270" t="str">
        <f>"970062"</f>
        <v>970062</v>
      </c>
      <c r="B270" t="s">
        <v>3</v>
      </c>
      <c r="C270">
        <v>102</v>
      </c>
    </row>
    <row r="271" spans="1:3">
      <c r="A271" t="str">
        <f>"970063"</f>
        <v>970063</v>
      </c>
      <c r="B271" t="s">
        <v>3</v>
      </c>
      <c r="C271">
        <v>102</v>
      </c>
    </row>
    <row r="272" spans="1:3">
      <c r="A272" t="str">
        <f>"970064"</f>
        <v>970064</v>
      </c>
      <c r="B272" t="s">
        <v>3</v>
      </c>
      <c r="C272">
        <v>102</v>
      </c>
    </row>
    <row r="273" spans="1:3">
      <c r="A273" t="str">
        <f>"970065"</f>
        <v>970065</v>
      </c>
      <c r="B273" t="s">
        <v>3</v>
      </c>
      <c r="C273">
        <v>102</v>
      </c>
    </row>
    <row r="274" spans="1:3">
      <c r="A274" t="str">
        <f>"970067"</f>
        <v>970067</v>
      </c>
      <c r="B274" t="s">
        <v>3</v>
      </c>
      <c r="C274">
        <v>102</v>
      </c>
    </row>
    <row r="275" spans="1:3">
      <c r="A275" t="str">
        <f>"970068"</f>
        <v>970068</v>
      </c>
      <c r="B275" t="s">
        <v>3</v>
      </c>
      <c r="C275">
        <v>102</v>
      </c>
    </row>
    <row r="276" spans="1:3">
      <c r="A276" t="str">
        <f>"970069"</f>
        <v>970069</v>
      </c>
      <c r="B276" t="s">
        <v>3</v>
      </c>
      <c r="C276">
        <v>102</v>
      </c>
    </row>
    <row r="277" spans="1:3">
      <c r="A277" t="str">
        <f>"970070"</f>
        <v>970070</v>
      </c>
      <c r="B277" t="s">
        <v>3</v>
      </c>
      <c r="C277">
        <v>102</v>
      </c>
    </row>
    <row r="278" spans="1:3">
      <c r="A278" t="str">
        <f>"970071"</f>
        <v>970071</v>
      </c>
      <c r="B278" t="s">
        <v>3</v>
      </c>
      <c r="C278">
        <v>102</v>
      </c>
    </row>
    <row r="279" spans="1:3">
      <c r="A279" t="str">
        <f>"970072"</f>
        <v>970072</v>
      </c>
      <c r="B279" t="s">
        <v>3</v>
      </c>
      <c r="C279">
        <v>102</v>
      </c>
    </row>
    <row r="280" spans="1:3">
      <c r="A280" t="str">
        <f>"970074"</f>
        <v>970074</v>
      </c>
      <c r="B280" t="s">
        <v>3</v>
      </c>
      <c r="C280">
        <v>102</v>
      </c>
    </row>
    <row r="281" spans="1:3">
      <c r="A281" t="str">
        <f>"970075"</f>
        <v>970075</v>
      </c>
      <c r="B281" t="s">
        <v>3</v>
      </c>
      <c r="C281">
        <v>102</v>
      </c>
    </row>
    <row r="282" spans="1:3">
      <c r="A282" t="str">
        <f>"970076"</f>
        <v>970076</v>
      </c>
      <c r="B282" t="s">
        <v>3</v>
      </c>
      <c r="C282">
        <v>102</v>
      </c>
    </row>
    <row r="283" spans="1:3">
      <c r="A283" t="str">
        <f>"970077"</f>
        <v>970077</v>
      </c>
      <c r="B283" t="s">
        <v>3</v>
      </c>
      <c r="C283">
        <v>102</v>
      </c>
    </row>
    <row r="284" spans="1:3">
      <c r="A284" t="str">
        <f>"970080"</f>
        <v>970080</v>
      </c>
      <c r="B284" t="s">
        <v>3</v>
      </c>
      <c r="C284">
        <v>102</v>
      </c>
    </row>
    <row r="285" spans="1:3">
      <c r="A285" t="str">
        <f>"970081"</f>
        <v>970081</v>
      </c>
      <c r="B285" t="s">
        <v>3</v>
      </c>
      <c r="C285">
        <v>102</v>
      </c>
    </row>
    <row r="286" spans="1:3">
      <c r="A286" t="str">
        <f>"970082"</f>
        <v>970082</v>
      </c>
      <c r="B286" t="s">
        <v>3</v>
      </c>
      <c r="C286">
        <v>102</v>
      </c>
    </row>
    <row r="287" spans="1:3">
      <c r="A287" t="str">
        <f>"970084"</f>
        <v>970084</v>
      </c>
      <c r="B287" t="s">
        <v>3</v>
      </c>
      <c r="C287">
        <v>102</v>
      </c>
    </row>
    <row r="288" spans="1:3">
      <c r="A288" t="str">
        <f>"970085"</f>
        <v>970085</v>
      </c>
      <c r="B288" t="s">
        <v>3</v>
      </c>
      <c r="C288">
        <v>102</v>
      </c>
    </row>
    <row r="289" spans="1:3">
      <c r="A289" t="str">
        <f>"971001"</f>
        <v>971001</v>
      </c>
      <c r="B289" t="s">
        <v>3</v>
      </c>
      <c r="C289">
        <v>102</v>
      </c>
    </row>
    <row r="290" spans="1:3">
      <c r="A290" t="str">
        <f>"971002"</f>
        <v>971002</v>
      </c>
      <c r="B290" t="s">
        <v>3</v>
      </c>
      <c r="C290">
        <v>102</v>
      </c>
    </row>
    <row r="291" spans="1:3">
      <c r="A291" t="str">
        <f>"971004"</f>
        <v>971004</v>
      </c>
      <c r="B291" t="s">
        <v>3</v>
      </c>
      <c r="C291">
        <v>102</v>
      </c>
    </row>
    <row r="292" spans="1:3">
      <c r="A292" t="str">
        <f>"980001"</f>
        <v>980001</v>
      </c>
      <c r="B292" t="s">
        <v>3</v>
      </c>
      <c r="C292">
        <v>102</v>
      </c>
    </row>
    <row r="293" spans="1:3">
      <c r="A293" t="str">
        <f>"980002"</f>
        <v>980002</v>
      </c>
      <c r="B293" t="s">
        <v>3</v>
      </c>
      <c r="C293">
        <v>102</v>
      </c>
    </row>
    <row r="294" spans="1:3">
      <c r="A294" t="str">
        <f>"980003"</f>
        <v>980003</v>
      </c>
      <c r="B294" t="s">
        <v>3</v>
      </c>
      <c r="C294">
        <v>102</v>
      </c>
    </row>
    <row r="295" spans="1:3">
      <c r="A295" t="str">
        <f>"980004"</f>
        <v>980004</v>
      </c>
      <c r="B295" t="s">
        <v>3</v>
      </c>
      <c r="C295">
        <v>102</v>
      </c>
    </row>
    <row r="296" spans="1:3">
      <c r="A296" t="str">
        <f>"980005"</f>
        <v>980005</v>
      </c>
      <c r="B296" t="s">
        <v>3</v>
      </c>
      <c r="C296">
        <v>102</v>
      </c>
    </row>
    <row r="297" spans="1:3">
      <c r="A297" t="str">
        <f>"980006"</f>
        <v>980006</v>
      </c>
      <c r="B297" t="s">
        <v>3</v>
      </c>
      <c r="C297">
        <v>102</v>
      </c>
    </row>
    <row r="298" spans="1:3">
      <c r="A298" t="str">
        <f>"980007"</f>
        <v>980007</v>
      </c>
      <c r="B298" t="s">
        <v>3</v>
      </c>
      <c r="C298">
        <v>102</v>
      </c>
    </row>
    <row r="299" spans="1:3">
      <c r="A299" t="str">
        <f>"980008"</f>
        <v>980008</v>
      </c>
      <c r="B299" t="s">
        <v>3</v>
      </c>
      <c r="C299">
        <v>102</v>
      </c>
    </row>
    <row r="300" spans="1:3">
      <c r="A300" t="str">
        <f>"980009"</f>
        <v>980009</v>
      </c>
      <c r="B300" t="s">
        <v>3</v>
      </c>
      <c r="C300">
        <v>102</v>
      </c>
    </row>
    <row r="301" spans="1:3">
      <c r="A301" t="str">
        <f>"980010"</f>
        <v>980010</v>
      </c>
      <c r="B301" t="s">
        <v>3</v>
      </c>
      <c r="C301">
        <v>102</v>
      </c>
    </row>
    <row r="302" spans="1:3">
      <c r="A302" t="str">
        <f>"980011"</f>
        <v>980011</v>
      </c>
      <c r="B302" t="s">
        <v>3</v>
      </c>
      <c r="C302">
        <v>102</v>
      </c>
    </row>
    <row r="303" spans="1:3">
      <c r="A303" t="str">
        <f>"980012"</f>
        <v>980012</v>
      </c>
      <c r="B303" t="s">
        <v>3</v>
      </c>
      <c r="C303">
        <v>102</v>
      </c>
    </row>
    <row r="304" spans="1:3">
      <c r="A304" t="str">
        <f>"980013"</f>
        <v>980013</v>
      </c>
      <c r="B304" t="s">
        <v>3</v>
      </c>
      <c r="C304">
        <v>102</v>
      </c>
    </row>
    <row r="305" spans="1:3">
      <c r="A305" t="str">
        <f>"980014"</f>
        <v>980014</v>
      </c>
      <c r="B305" t="s">
        <v>3</v>
      </c>
      <c r="C305">
        <v>102</v>
      </c>
    </row>
    <row r="306" spans="1:3">
      <c r="A306" t="str">
        <f>"980015"</f>
        <v>980015</v>
      </c>
      <c r="B306" t="s">
        <v>3</v>
      </c>
      <c r="C306">
        <v>102</v>
      </c>
    </row>
    <row r="307" spans="1:3">
      <c r="A307" t="str">
        <f>"980016"</f>
        <v>980016</v>
      </c>
      <c r="B307" t="s">
        <v>3</v>
      </c>
      <c r="C307">
        <v>102</v>
      </c>
    </row>
    <row r="308" spans="1:3">
      <c r="A308" t="str">
        <f>"980017"</f>
        <v>980017</v>
      </c>
      <c r="B308" t="s">
        <v>3</v>
      </c>
      <c r="C308">
        <v>102</v>
      </c>
    </row>
    <row r="309" spans="1:3">
      <c r="A309" t="str">
        <f>"980018"</f>
        <v>980018</v>
      </c>
      <c r="B309" t="s">
        <v>3</v>
      </c>
      <c r="C309">
        <v>102</v>
      </c>
    </row>
    <row r="310" spans="1:3">
      <c r="A310" t="str">
        <f>"980019"</f>
        <v>980019</v>
      </c>
      <c r="B310" t="s">
        <v>3</v>
      </c>
      <c r="C310">
        <v>102</v>
      </c>
    </row>
    <row r="311" spans="1:3">
      <c r="A311" t="str">
        <f>"980020"</f>
        <v>980020</v>
      </c>
      <c r="B311" t="s">
        <v>3</v>
      </c>
      <c r="C311">
        <v>102</v>
      </c>
    </row>
    <row r="312" spans="1:3">
      <c r="A312" t="str">
        <f>"980021"</f>
        <v>980021</v>
      </c>
      <c r="B312" t="s">
        <v>3</v>
      </c>
      <c r="C312">
        <v>102</v>
      </c>
    </row>
    <row r="313" spans="1:3">
      <c r="A313" t="str">
        <f>"980022"</f>
        <v>980022</v>
      </c>
      <c r="B313" t="s">
        <v>3</v>
      </c>
      <c r="C313">
        <v>102</v>
      </c>
    </row>
    <row r="314" spans="1:3">
      <c r="A314" t="str">
        <f>"980023"</f>
        <v>980023</v>
      </c>
      <c r="B314" t="s">
        <v>3</v>
      </c>
      <c r="C314">
        <v>102</v>
      </c>
    </row>
    <row r="315" spans="1:3">
      <c r="A315" t="str">
        <f>"980024"</f>
        <v>980024</v>
      </c>
      <c r="B315" t="s">
        <v>3</v>
      </c>
      <c r="C315">
        <v>102</v>
      </c>
    </row>
    <row r="316" spans="1:3">
      <c r="A316" t="str">
        <f>"980026"</f>
        <v>980026</v>
      </c>
      <c r="B316" t="s">
        <v>3</v>
      </c>
      <c r="C316">
        <v>102</v>
      </c>
    </row>
    <row r="317" spans="1:3">
      <c r="A317" t="str">
        <f>"980027"</f>
        <v>980027</v>
      </c>
      <c r="B317" t="s">
        <v>3</v>
      </c>
      <c r="C317">
        <v>102</v>
      </c>
    </row>
    <row r="318" spans="1:3">
      <c r="A318" t="str">
        <f>"980028"</f>
        <v>980028</v>
      </c>
      <c r="B318" t="s">
        <v>3</v>
      </c>
      <c r="C318">
        <v>102</v>
      </c>
    </row>
    <row r="319" spans="1:3">
      <c r="A319" t="str">
        <f>"980029"</f>
        <v>980029</v>
      </c>
      <c r="B319" t="s">
        <v>3</v>
      </c>
      <c r="C319">
        <v>102</v>
      </c>
    </row>
    <row r="320" spans="1:3">
      <c r="A320" t="str">
        <f>"980030"</f>
        <v>980030</v>
      </c>
      <c r="B320" t="s">
        <v>3</v>
      </c>
      <c r="C320">
        <v>102</v>
      </c>
    </row>
    <row r="321" spans="1:3">
      <c r="A321" t="str">
        <f>"980031"</f>
        <v>980031</v>
      </c>
      <c r="B321" t="s">
        <v>3</v>
      </c>
      <c r="C321">
        <v>102</v>
      </c>
    </row>
    <row r="322" spans="1:3">
      <c r="A322" t="str">
        <f>"980032"</f>
        <v>980032</v>
      </c>
      <c r="B322" t="s">
        <v>3</v>
      </c>
      <c r="C322">
        <v>102</v>
      </c>
    </row>
    <row r="323" spans="1:3">
      <c r="A323" t="str">
        <f>"980033"</f>
        <v>980033</v>
      </c>
      <c r="B323" t="s">
        <v>3</v>
      </c>
      <c r="C323">
        <v>102</v>
      </c>
    </row>
    <row r="324" spans="1:3">
      <c r="A324" t="str">
        <f>"980034"</f>
        <v>980034</v>
      </c>
      <c r="B324" t="s">
        <v>3</v>
      </c>
      <c r="C324">
        <v>102</v>
      </c>
    </row>
    <row r="325" spans="1:3">
      <c r="A325" t="str">
        <f>"980035"</f>
        <v>980035</v>
      </c>
      <c r="B325" t="s">
        <v>3</v>
      </c>
      <c r="C325">
        <v>102</v>
      </c>
    </row>
    <row r="326" spans="1:3">
      <c r="A326" t="str">
        <f>"980036"</f>
        <v>980036</v>
      </c>
      <c r="B326" t="s">
        <v>3</v>
      </c>
      <c r="C326">
        <v>102</v>
      </c>
    </row>
    <row r="327" spans="1:3">
      <c r="A327" t="str">
        <f>"980037"</f>
        <v>980037</v>
      </c>
      <c r="B327" t="s">
        <v>3</v>
      </c>
      <c r="C327">
        <v>102</v>
      </c>
    </row>
    <row r="328" spans="1:3">
      <c r="A328" t="str">
        <f>"980038"</f>
        <v>980038</v>
      </c>
      <c r="B328" t="s">
        <v>3</v>
      </c>
      <c r="C328">
        <v>102</v>
      </c>
    </row>
    <row r="329" spans="1:3">
      <c r="A329" t="str">
        <f>"980039"</f>
        <v>980039</v>
      </c>
      <c r="B329" t="s">
        <v>3</v>
      </c>
      <c r="C329">
        <v>102</v>
      </c>
    </row>
    <row r="330" spans="1:3">
      <c r="A330" t="str">
        <f>"980043"</f>
        <v>980043</v>
      </c>
      <c r="B330" t="s">
        <v>3</v>
      </c>
      <c r="C330">
        <v>102</v>
      </c>
    </row>
    <row r="331" spans="1:3">
      <c r="A331" t="str">
        <f>"980046"</f>
        <v>980046</v>
      </c>
      <c r="B331" t="s">
        <v>3</v>
      </c>
      <c r="C331">
        <v>102</v>
      </c>
    </row>
    <row r="332" spans="1:3">
      <c r="A332" t="str">
        <f>"980047"</f>
        <v>980047</v>
      </c>
      <c r="B332" t="s">
        <v>3</v>
      </c>
      <c r="C332">
        <v>102</v>
      </c>
    </row>
    <row r="333" spans="1:3">
      <c r="A333" t="str">
        <f>"980048"</f>
        <v>980048</v>
      </c>
      <c r="B333" t="s">
        <v>3</v>
      </c>
      <c r="C333">
        <v>102</v>
      </c>
    </row>
    <row r="334" spans="1:3">
      <c r="A334" t="str">
        <f>"980049"</f>
        <v>980049</v>
      </c>
      <c r="B334" t="s">
        <v>3</v>
      </c>
      <c r="C334">
        <v>102</v>
      </c>
    </row>
    <row r="335" spans="1:3">
      <c r="A335" t="str">
        <f>"980052"</f>
        <v>980052</v>
      </c>
      <c r="B335" t="s">
        <v>3</v>
      </c>
      <c r="C335">
        <v>102</v>
      </c>
    </row>
    <row r="336" spans="1:3">
      <c r="A336" t="str">
        <f>"980053"</f>
        <v>980053</v>
      </c>
      <c r="B336" t="s">
        <v>3</v>
      </c>
      <c r="C336">
        <v>102</v>
      </c>
    </row>
    <row r="337" spans="1:3">
      <c r="A337" t="str">
        <f>"980055"</f>
        <v>980055</v>
      </c>
      <c r="B337" t="s">
        <v>3</v>
      </c>
      <c r="C337">
        <v>102</v>
      </c>
    </row>
    <row r="338" spans="1:3">
      <c r="A338" t="str">
        <f>"980056"</f>
        <v>980056</v>
      </c>
      <c r="B338" t="s">
        <v>3</v>
      </c>
      <c r="C338">
        <v>102</v>
      </c>
    </row>
    <row r="339" spans="1:3">
      <c r="A339" t="str">
        <f>"980057"</f>
        <v>980057</v>
      </c>
      <c r="B339" t="s">
        <v>3</v>
      </c>
      <c r="C339">
        <v>102</v>
      </c>
    </row>
    <row r="340" spans="1:3">
      <c r="A340" t="str">
        <f>"980058"</f>
        <v>980058</v>
      </c>
      <c r="B340" t="s">
        <v>3</v>
      </c>
      <c r="C340">
        <v>102</v>
      </c>
    </row>
    <row r="341" spans="1:3">
      <c r="A341" t="str">
        <f>"980059"</f>
        <v>980059</v>
      </c>
      <c r="B341" t="s">
        <v>3</v>
      </c>
      <c r="C341">
        <v>102</v>
      </c>
    </row>
    <row r="342" spans="1:3">
      <c r="A342" t="str">
        <f>"980063"</f>
        <v>980063</v>
      </c>
      <c r="B342" t="s">
        <v>3</v>
      </c>
      <c r="C342">
        <v>102</v>
      </c>
    </row>
    <row r="343" spans="1:3">
      <c r="A343" t="str">
        <f>"980065"</f>
        <v>980065</v>
      </c>
      <c r="B343" t="s">
        <v>3</v>
      </c>
      <c r="C343">
        <v>102</v>
      </c>
    </row>
    <row r="344" spans="1:3">
      <c r="A344" t="str">
        <f>"980068"</f>
        <v>980068</v>
      </c>
      <c r="B344" t="s">
        <v>3</v>
      </c>
      <c r="C344">
        <v>102</v>
      </c>
    </row>
    <row r="345" spans="1:3">
      <c r="A345" t="str">
        <f>"980069"</f>
        <v>980069</v>
      </c>
      <c r="B345" t="s">
        <v>3</v>
      </c>
      <c r="C345">
        <v>102</v>
      </c>
    </row>
    <row r="346" spans="1:3">
      <c r="A346" t="str">
        <f>"980070"</f>
        <v>980070</v>
      </c>
      <c r="B346" t="s">
        <v>3</v>
      </c>
      <c r="C346">
        <v>102</v>
      </c>
    </row>
    <row r="347" spans="1:3">
      <c r="A347" t="str">
        <f>"980071"</f>
        <v>980071</v>
      </c>
      <c r="B347" t="s">
        <v>3</v>
      </c>
      <c r="C347">
        <v>102</v>
      </c>
    </row>
    <row r="348" spans="1:3">
      <c r="A348" t="str">
        <f>"980072"</f>
        <v>980072</v>
      </c>
      <c r="B348" t="s">
        <v>3</v>
      </c>
      <c r="C348">
        <v>102</v>
      </c>
    </row>
    <row r="349" spans="1:3">
      <c r="A349" t="str">
        <f>"980073"</f>
        <v>980073</v>
      </c>
      <c r="B349" t="s">
        <v>3</v>
      </c>
      <c r="C349">
        <v>102</v>
      </c>
    </row>
    <row r="350" spans="1:3">
      <c r="A350" t="str">
        <f>"980075"</f>
        <v>980075</v>
      </c>
      <c r="B350" t="s">
        <v>3</v>
      </c>
      <c r="C350">
        <v>102</v>
      </c>
    </row>
    <row r="351" spans="1:3">
      <c r="A351" t="str">
        <f>"980076"</f>
        <v>980076</v>
      </c>
      <c r="B351" t="s">
        <v>3</v>
      </c>
      <c r="C351">
        <v>102</v>
      </c>
    </row>
    <row r="352" spans="1:3">
      <c r="A352" t="str">
        <f>"980077"</f>
        <v>980077</v>
      </c>
      <c r="B352" t="s">
        <v>3</v>
      </c>
      <c r="C352">
        <v>102</v>
      </c>
    </row>
    <row r="353" spans="1:3">
      <c r="A353" t="str">
        <f>"980080"</f>
        <v>980080</v>
      </c>
      <c r="B353" t="s">
        <v>3</v>
      </c>
      <c r="C353">
        <v>102</v>
      </c>
    </row>
    <row r="354" spans="1:3">
      <c r="A354" t="str">
        <f>"980081"</f>
        <v>980081</v>
      </c>
      <c r="B354" t="s">
        <v>3</v>
      </c>
      <c r="C354">
        <v>102</v>
      </c>
    </row>
    <row r="355" spans="1:3">
      <c r="A355" t="str">
        <f>"980082"</f>
        <v>980082</v>
      </c>
      <c r="B355" t="s">
        <v>3</v>
      </c>
      <c r="C355">
        <v>102</v>
      </c>
    </row>
    <row r="356" spans="1:3">
      <c r="A356" t="str">
        <f>"980083"</f>
        <v>980083</v>
      </c>
      <c r="B356" t="s">
        <v>3</v>
      </c>
      <c r="C356">
        <v>102</v>
      </c>
    </row>
    <row r="357" spans="1:3">
      <c r="A357" t="str">
        <f>"980086"</f>
        <v>980086</v>
      </c>
      <c r="B357" t="s">
        <v>3</v>
      </c>
      <c r="C357">
        <v>102</v>
      </c>
    </row>
    <row r="358" spans="1:3">
      <c r="A358" t="str">
        <f>"980092"</f>
        <v>980092</v>
      </c>
      <c r="B358" t="s">
        <v>3</v>
      </c>
      <c r="C358">
        <v>102</v>
      </c>
    </row>
    <row r="359" spans="1:3">
      <c r="A359" t="str">
        <f>"980103"</f>
        <v>980103</v>
      </c>
      <c r="B359" t="s">
        <v>3</v>
      </c>
      <c r="C359">
        <v>102</v>
      </c>
    </row>
    <row r="360" spans="1:3">
      <c r="A360" t="str">
        <f>"980107"</f>
        <v>980107</v>
      </c>
      <c r="B360" t="s">
        <v>3</v>
      </c>
      <c r="C360">
        <v>102</v>
      </c>
    </row>
    <row r="361" spans="1:3">
      <c r="A361" t="str">
        <f>"980112"</f>
        <v>980112</v>
      </c>
      <c r="B361" t="s">
        <v>3</v>
      </c>
      <c r="C361">
        <v>102</v>
      </c>
    </row>
    <row r="362" spans="1:3">
      <c r="A362" t="str">
        <f>"980150"</f>
        <v>980150</v>
      </c>
      <c r="B362" t="s">
        <v>3</v>
      </c>
      <c r="C362">
        <v>102</v>
      </c>
    </row>
    <row r="363" spans="1:3">
      <c r="A363" t="str">
        <f>"980202"</f>
        <v>980202</v>
      </c>
      <c r="B363" t="s">
        <v>3</v>
      </c>
      <c r="C363">
        <v>102</v>
      </c>
    </row>
    <row r="364" spans="1:3">
      <c r="A364" t="str">
        <f>"980532"</f>
        <v>980532</v>
      </c>
      <c r="B364" t="s">
        <v>3</v>
      </c>
      <c r="C364">
        <v>102</v>
      </c>
    </row>
    <row r="365" spans="1:3">
      <c r="A365" t="str">
        <f>"983001"</f>
        <v>983001</v>
      </c>
      <c r="B365" t="s">
        <v>3</v>
      </c>
      <c r="C365">
        <v>102</v>
      </c>
    </row>
    <row r="366" spans="1:3">
      <c r="A366" t="str">
        <f>"983002"</f>
        <v>983002</v>
      </c>
      <c r="B366" t="s">
        <v>3</v>
      </c>
      <c r="C366">
        <v>102</v>
      </c>
    </row>
    <row r="367" spans="1:3">
      <c r="A367" t="str">
        <f>"983003"</f>
        <v>983003</v>
      </c>
      <c r="B367" t="s">
        <v>3</v>
      </c>
      <c r="C367">
        <v>102</v>
      </c>
    </row>
    <row r="368" spans="1:3">
      <c r="A368" t="str">
        <f>"983004"</f>
        <v>983004</v>
      </c>
      <c r="B368" t="s">
        <v>3</v>
      </c>
      <c r="C368">
        <v>102</v>
      </c>
    </row>
    <row r="369" spans="1:3">
      <c r="A369" t="str">
        <f>"983005"</f>
        <v>983005</v>
      </c>
      <c r="B369" t="s">
        <v>3</v>
      </c>
      <c r="C369">
        <v>102</v>
      </c>
    </row>
    <row r="370" spans="1:3">
      <c r="A370" t="str">
        <f>"983006"</f>
        <v>983006</v>
      </c>
      <c r="B370" t="s">
        <v>3</v>
      </c>
      <c r="C370">
        <v>102</v>
      </c>
    </row>
    <row r="371" spans="1:3">
      <c r="A371" t="str">
        <f>"983007"</f>
        <v>983007</v>
      </c>
      <c r="B371" t="s">
        <v>3</v>
      </c>
      <c r="C371">
        <v>102</v>
      </c>
    </row>
    <row r="372" spans="1:3">
      <c r="A372" t="str">
        <f>"983008"</f>
        <v>983008</v>
      </c>
      <c r="B372" t="s">
        <v>3</v>
      </c>
      <c r="C372">
        <v>102</v>
      </c>
    </row>
    <row r="373" spans="1:3">
      <c r="A373" t="str">
        <f>"983009"</f>
        <v>983009</v>
      </c>
      <c r="B373" t="s">
        <v>3</v>
      </c>
      <c r="C373">
        <v>102</v>
      </c>
    </row>
    <row r="374" spans="1:3">
      <c r="A374" t="str">
        <f>"983010"</f>
        <v>983010</v>
      </c>
      <c r="B374" t="s">
        <v>3</v>
      </c>
      <c r="C374">
        <v>102</v>
      </c>
    </row>
    <row r="375" spans="1:3">
      <c r="A375" t="str">
        <f>"983011"</f>
        <v>983011</v>
      </c>
      <c r="B375" t="s">
        <v>3</v>
      </c>
      <c r="C375">
        <v>102</v>
      </c>
    </row>
    <row r="376" spans="1:3">
      <c r="A376" t="str">
        <f>"983012"</f>
        <v>983012</v>
      </c>
      <c r="B376" t="s">
        <v>3</v>
      </c>
      <c r="C376">
        <v>102</v>
      </c>
    </row>
    <row r="377" spans="1:3">
      <c r="A377" t="str">
        <f>"983013"</f>
        <v>983013</v>
      </c>
      <c r="B377" t="s">
        <v>3</v>
      </c>
      <c r="C377">
        <v>102</v>
      </c>
    </row>
    <row r="378" spans="1:3">
      <c r="A378" t="str">
        <f>"983014"</f>
        <v>983014</v>
      </c>
      <c r="B378" t="s">
        <v>3</v>
      </c>
      <c r="C378">
        <v>102</v>
      </c>
    </row>
    <row r="379" spans="1:3">
      <c r="A379" t="str">
        <f>"983015"</f>
        <v>983015</v>
      </c>
      <c r="B379" t="s">
        <v>3</v>
      </c>
      <c r="C379">
        <v>102</v>
      </c>
    </row>
    <row r="380" spans="1:3">
      <c r="A380" t="str">
        <f>"983016"</f>
        <v>983016</v>
      </c>
      <c r="B380" t="s">
        <v>3</v>
      </c>
      <c r="C380">
        <v>102</v>
      </c>
    </row>
    <row r="381" spans="1:3">
      <c r="A381" t="str">
        <f>"983017"</f>
        <v>983017</v>
      </c>
      <c r="B381" t="s">
        <v>3</v>
      </c>
      <c r="C381">
        <v>102</v>
      </c>
    </row>
    <row r="382" spans="1:3">
      <c r="A382" t="str">
        <f>"983018"</f>
        <v>983018</v>
      </c>
      <c r="B382" t="s">
        <v>3</v>
      </c>
      <c r="C382">
        <v>102</v>
      </c>
    </row>
    <row r="383" spans="1:3">
      <c r="A383" t="str">
        <f>"983019"</f>
        <v>983019</v>
      </c>
      <c r="B383" t="s">
        <v>3</v>
      </c>
      <c r="C383">
        <v>102</v>
      </c>
    </row>
    <row r="384" spans="1:3">
      <c r="A384" t="str">
        <f>"983020"</f>
        <v>983020</v>
      </c>
      <c r="B384" t="s">
        <v>3</v>
      </c>
      <c r="C384">
        <v>102</v>
      </c>
    </row>
    <row r="385" spans="1:3">
      <c r="A385" t="str">
        <f>"983021"</f>
        <v>983021</v>
      </c>
      <c r="B385" t="s">
        <v>3</v>
      </c>
      <c r="C385">
        <v>102</v>
      </c>
    </row>
    <row r="386" spans="1:3">
      <c r="A386" t="str">
        <f>"983022"</f>
        <v>983022</v>
      </c>
      <c r="B386" t="s">
        <v>3</v>
      </c>
      <c r="C386">
        <v>102</v>
      </c>
    </row>
    <row r="387" spans="1:3">
      <c r="A387" t="str">
        <f>"983023"</f>
        <v>983023</v>
      </c>
      <c r="B387" t="s">
        <v>3</v>
      </c>
      <c r="C387">
        <v>102</v>
      </c>
    </row>
    <row r="388" spans="1:3">
      <c r="A388" t="str">
        <f>"983024"</f>
        <v>983024</v>
      </c>
      <c r="B388" t="s">
        <v>3</v>
      </c>
      <c r="C388">
        <v>102</v>
      </c>
    </row>
    <row r="389" spans="1:3">
      <c r="A389" t="str">
        <f>"983025"</f>
        <v>983025</v>
      </c>
      <c r="B389" t="s">
        <v>3</v>
      </c>
      <c r="C389">
        <v>102</v>
      </c>
    </row>
    <row r="390" spans="1:3">
      <c r="A390" t="str">
        <f>"983026"</f>
        <v>983026</v>
      </c>
      <c r="B390" t="s">
        <v>3</v>
      </c>
      <c r="C390">
        <v>102</v>
      </c>
    </row>
    <row r="391" spans="1:3">
      <c r="A391" t="str">
        <f>"983027"</f>
        <v>983027</v>
      </c>
      <c r="B391" t="s">
        <v>3</v>
      </c>
      <c r="C391">
        <v>102</v>
      </c>
    </row>
    <row r="392" spans="1:3">
      <c r="A392" t="str">
        <f>"983028"</f>
        <v>983028</v>
      </c>
      <c r="B392" t="s">
        <v>3</v>
      </c>
      <c r="C392">
        <v>102</v>
      </c>
    </row>
    <row r="393" spans="1:3">
      <c r="A393" t="str">
        <f>"983029"</f>
        <v>983029</v>
      </c>
      <c r="B393" t="s">
        <v>3</v>
      </c>
      <c r="C393">
        <v>102</v>
      </c>
    </row>
    <row r="394" spans="1:3">
      <c r="A394" t="str">
        <f>"983030"</f>
        <v>983030</v>
      </c>
      <c r="B394" t="s">
        <v>3</v>
      </c>
      <c r="C394">
        <v>102</v>
      </c>
    </row>
    <row r="395" spans="1:3">
      <c r="A395" t="str">
        <f>"983031"</f>
        <v>983031</v>
      </c>
      <c r="B395" t="s">
        <v>3</v>
      </c>
      <c r="C395">
        <v>102</v>
      </c>
    </row>
    <row r="396" spans="1:3">
      <c r="A396" t="str">
        <f>"983032"</f>
        <v>983032</v>
      </c>
      <c r="B396" t="s">
        <v>3</v>
      </c>
      <c r="C396">
        <v>102</v>
      </c>
    </row>
    <row r="397" spans="1:3">
      <c r="A397" t="str">
        <f>"983033"</f>
        <v>983033</v>
      </c>
      <c r="B397" t="s">
        <v>3</v>
      </c>
      <c r="C397">
        <v>102</v>
      </c>
    </row>
    <row r="398" spans="1:3">
      <c r="A398" t="str">
        <f>"983034"</f>
        <v>983034</v>
      </c>
      <c r="B398" t="s">
        <v>3</v>
      </c>
      <c r="C398">
        <v>102</v>
      </c>
    </row>
    <row r="399" spans="1:3">
      <c r="A399" t="str">
        <f>"983035"</f>
        <v>983035</v>
      </c>
      <c r="B399" t="s">
        <v>3</v>
      </c>
      <c r="C399">
        <v>102</v>
      </c>
    </row>
    <row r="400" spans="1:3">
      <c r="A400" t="str">
        <f>"983036"</f>
        <v>983036</v>
      </c>
      <c r="B400" t="s">
        <v>3</v>
      </c>
      <c r="C400">
        <v>102</v>
      </c>
    </row>
    <row r="401" spans="1:3">
      <c r="A401" t="str">
        <f>"983037"</f>
        <v>983037</v>
      </c>
      <c r="B401" t="s">
        <v>3</v>
      </c>
      <c r="C401">
        <v>102</v>
      </c>
    </row>
    <row r="402" spans="1:3">
      <c r="A402" t="str">
        <f>"983038"</f>
        <v>983038</v>
      </c>
      <c r="B402" t="s">
        <v>3</v>
      </c>
      <c r="C402">
        <v>102</v>
      </c>
    </row>
    <row r="403" spans="1:3">
      <c r="A403" t="str">
        <f>"983039"</f>
        <v>983039</v>
      </c>
      <c r="B403" t="s">
        <v>3</v>
      </c>
      <c r="C403">
        <v>102</v>
      </c>
    </row>
    <row r="404" spans="1:3">
      <c r="A404" t="str">
        <f>"983040"</f>
        <v>983040</v>
      </c>
      <c r="B404" t="s">
        <v>3</v>
      </c>
      <c r="C404">
        <v>102</v>
      </c>
    </row>
    <row r="405" spans="1:3">
      <c r="A405" t="str">
        <f>"983041"</f>
        <v>983041</v>
      </c>
      <c r="B405" t="s">
        <v>3</v>
      </c>
      <c r="C405">
        <v>102</v>
      </c>
    </row>
    <row r="406" spans="1:3">
      <c r="A406" t="str">
        <f>"983042"</f>
        <v>983042</v>
      </c>
      <c r="B406" t="s">
        <v>3</v>
      </c>
      <c r="C406">
        <v>102</v>
      </c>
    </row>
    <row r="407" spans="1:3">
      <c r="A407" t="str">
        <f>"983043"</f>
        <v>983043</v>
      </c>
      <c r="B407" t="s">
        <v>3</v>
      </c>
      <c r="C407">
        <v>102</v>
      </c>
    </row>
    <row r="408" spans="1:3">
      <c r="A408" t="str">
        <f>"983044"</f>
        <v>983044</v>
      </c>
      <c r="B408" t="s">
        <v>3</v>
      </c>
      <c r="C408">
        <v>102</v>
      </c>
    </row>
    <row r="409" spans="1:3">
      <c r="A409" t="str">
        <f>"983045"</f>
        <v>983045</v>
      </c>
      <c r="B409" t="s">
        <v>3</v>
      </c>
      <c r="C409">
        <v>102</v>
      </c>
    </row>
    <row r="410" spans="1:3">
      <c r="A410" t="str">
        <f>"983046"</f>
        <v>983046</v>
      </c>
      <c r="B410" t="s">
        <v>3</v>
      </c>
      <c r="C410">
        <v>102</v>
      </c>
    </row>
    <row r="411" spans="1:3">
      <c r="A411" t="str">
        <f>"983047"</f>
        <v>983047</v>
      </c>
      <c r="B411" t="s">
        <v>3</v>
      </c>
      <c r="C411">
        <v>102</v>
      </c>
    </row>
    <row r="412" spans="1:3">
      <c r="A412" t="str">
        <f>"983048"</f>
        <v>983048</v>
      </c>
      <c r="B412" t="s">
        <v>3</v>
      </c>
      <c r="C412">
        <v>102</v>
      </c>
    </row>
    <row r="413" spans="1:3">
      <c r="A413" t="str">
        <f>"983049"</f>
        <v>983049</v>
      </c>
      <c r="B413" t="s">
        <v>3</v>
      </c>
      <c r="C413">
        <v>102</v>
      </c>
    </row>
    <row r="414" spans="1:3">
      <c r="A414" t="str">
        <f>"983050"</f>
        <v>983050</v>
      </c>
      <c r="B414" t="s">
        <v>3</v>
      </c>
      <c r="C414">
        <v>102</v>
      </c>
    </row>
    <row r="415" spans="1:3">
      <c r="A415" t="str">
        <f>"983051"</f>
        <v>983051</v>
      </c>
      <c r="B415" t="s">
        <v>3</v>
      </c>
      <c r="C415">
        <v>102</v>
      </c>
    </row>
    <row r="416" spans="1:3">
      <c r="A416" t="str">
        <f>"983052"</f>
        <v>983052</v>
      </c>
      <c r="B416" t="s">
        <v>3</v>
      </c>
      <c r="C416">
        <v>102</v>
      </c>
    </row>
    <row r="417" spans="1:3">
      <c r="A417" t="str">
        <f>"983053"</f>
        <v>983053</v>
      </c>
      <c r="B417" t="s">
        <v>3</v>
      </c>
      <c r="C417">
        <v>102</v>
      </c>
    </row>
    <row r="418" spans="1:3">
      <c r="A418" t="str">
        <f>"983054"</f>
        <v>983054</v>
      </c>
      <c r="B418" t="s">
        <v>3</v>
      </c>
      <c r="C418">
        <v>102</v>
      </c>
    </row>
    <row r="419" spans="1:3">
      <c r="A419" t="str">
        <f>"983055"</f>
        <v>983055</v>
      </c>
      <c r="B419" t="s">
        <v>3</v>
      </c>
      <c r="C419">
        <v>102</v>
      </c>
    </row>
    <row r="420" spans="1:3">
      <c r="A420" t="str">
        <f>"983056"</f>
        <v>983056</v>
      </c>
      <c r="B420" t="s">
        <v>3</v>
      </c>
      <c r="C420">
        <v>102</v>
      </c>
    </row>
    <row r="421" spans="1:3">
      <c r="A421" t="str">
        <f>"983057"</f>
        <v>983057</v>
      </c>
      <c r="B421" t="s">
        <v>3</v>
      </c>
      <c r="C421">
        <v>102</v>
      </c>
    </row>
    <row r="422" spans="1:3">
      <c r="A422" t="str">
        <f>"983058"</f>
        <v>983058</v>
      </c>
      <c r="B422" t="s">
        <v>3</v>
      </c>
      <c r="C422">
        <v>102</v>
      </c>
    </row>
    <row r="423" spans="1:3">
      <c r="A423" t="str">
        <f>"983059"</f>
        <v>983059</v>
      </c>
      <c r="B423" t="s">
        <v>3</v>
      </c>
      <c r="C423">
        <v>102</v>
      </c>
    </row>
    <row r="424" spans="1:3">
      <c r="A424" t="str">
        <f>"983060"</f>
        <v>983060</v>
      </c>
      <c r="B424" t="s">
        <v>3</v>
      </c>
      <c r="C424">
        <v>102</v>
      </c>
    </row>
    <row r="425" spans="1:3">
      <c r="A425" t="str">
        <f>"983061"</f>
        <v>983061</v>
      </c>
      <c r="B425" t="s">
        <v>3</v>
      </c>
      <c r="C425">
        <v>102</v>
      </c>
    </row>
    <row r="426" spans="1:3">
      <c r="A426" t="str">
        <f>"983062"</f>
        <v>983062</v>
      </c>
      <c r="B426" t="s">
        <v>3</v>
      </c>
      <c r="C426">
        <v>102</v>
      </c>
    </row>
    <row r="427" spans="1:3">
      <c r="A427" t="str">
        <f>"983063"</f>
        <v>983063</v>
      </c>
      <c r="B427" t="s">
        <v>3</v>
      </c>
      <c r="C427">
        <v>102</v>
      </c>
    </row>
    <row r="428" spans="1:3">
      <c r="A428" t="str">
        <f>"983064"</f>
        <v>983064</v>
      </c>
      <c r="B428" t="s">
        <v>3</v>
      </c>
      <c r="C428">
        <v>102</v>
      </c>
    </row>
    <row r="429" spans="1:3">
      <c r="A429" t="str">
        <f>"983065"</f>
        <v>983065</v>
      </c>
      <c r="B429" t="s">
        <v>3</v>
      </c>
      <c r="C429">
        <v>102</v>
      </c>
    </row>
    <row r="430" spans="1:3">
      <c r="A430" t="str">
        <f>"983066"</f>
        <v>983066</v>
      </c>
      <c r="B430" t="s">
        <v>3</v>
      </c>
      <c r="C430">
        <v>102</v>
      </c>
    </row>
    <row r="431" spans="1:3">
      <c r="A431" t="str">
        <f>"983067"</f>
        <v>983067</v>
      </c>
      <c r="B431" t="s">
        <v>3</v>
      </c>
      <c r="C431">
        <v>102</v>
      </c>
    </row>
    <row r="432" spans="1:3">
      <c r="A432" t="str">
        <f>"983068"</f>
        <v>983068</v>
      </c>
      <c r="B432" t="s">
        <v>3</v>
      </c>
      <c r="C432">
        <v>102</v>
      </c>
    </row>
    <row r="433" spans="1:3">
      <c r="A433" t="str">
        <f>"983069"</f>
        <v>983069</v>
      </c>
      <c r="B433" t="s">
        <v>3</v>
      </c>
      <c r="C433">
        <v>102</v>
      </c>
    </row>
    <row r="434" spans="1:3">
      <c r="A434" t="str">
        <f>"983070"</f>
        <v>983070</v>
      </c>
      <c r="B434" t="s">
        <v>3</v>
      </c>
      <c r="C434">
        <v>102</v>
      </c>
    </row>
    <row r="435" spans="1:3">
      <c r="A435" t="str">
        <f>"983071"</f>
        <v>983071</v>
      </c>
      <c r="B435" t="s">
        <v>3</v>
      </c>
      <c r="C435">
        <v>102</v>
      </c>
    </row>
    <row r="436" spans="1:3">
      <c r="A436" t="str">
        <f>"983072"</f>
        <v>983072</v>
      </c>
      <c r="B436" t="s">
        <v>3</v>
      </c>
      <c r="C436">
        <v>102</v>
      </c>
    </row>
    <row r="437" spans="1:3">
      <c r="A437" t="str">
        <f>"983073"</f>
        <v>983073</v>
      </c>
      <c r="B437" t="s">
        <v>3</v>
      </c>
      <c r="C437">
        <v>102</v>
      </c>
    </row>
    <row r="438" spans="1:3">
      <c r="A438" t="str">
        <f>"983074"</f>
        <v>983074</v>
      </c>
      <c r="B438" t="s">
        <v>3</v>
      </c>
      <c r="C438">
        <v>102</v>
      </c>
    </row>
    <row r="439" spans="1:3">
      <c r="A439" t="str">
        <f>"983075"</f>
        <v>983075</v>
      </c>
      <c r="B439" t="s">
        <v>3</v>
      </c>
      <c r="C439">
        <v>102</v>
      </c>
    </row>
    <row r="440" spans="1:3">
      <c r="A440" t="str">
        <f>"983076"</f>
        <v>983076</v>
      </c>
      <c r="B440" t="s">
        <v>3</v>
      </c>
      <c r="C440">
        <v>102</v>
      </c>
    </row>
    <row r="441" spans="1:3">
      <c r="A441" t="str">
        <f>"983077"</f>
        <v>983077</v>
      </c>
      <c r="B441" t="s">
        <v>3</v>
      </c>
      <c r="C441">
        <v>102</v>
      </c>
    </row>
    <row r="442" spans="1:3">
      <c r="A442" t="str">
        <f>"983078"</f>
        <v>983078</v>
      </c>
      <c r="B442" t="s">
        <v>3</v>
      </c>
      <c r="C442">
        <v>102</v>
      </c>
    </row>
    <row r="443" spans="1:3">
      <c r="A443" t="str">
        <f>"983079"</f>
        <v>983079</v>
      </c>
      <c r="B443" t="s">
        <v>3</v>
      </c>
      <c r="C443">
        <v>102</v>
      </c>
    </row>
    <row r="444" spans="1:3">
      <c r="A444" t="str">
        <f>"983080"</f>
        <v>983080</v>
      </c>
      <c r="B444" t="s">
        <v>3</v>
      </c>
      <c r="C444">
        <v>102</v>
      </c>
    </row>
    <row r="445" spans="1:3">
      <c r="A445" t="str">
        <f>"983081"</f>
        <v>983081</v>
      </c>
      <c r="B445" t="s">
        <v>3</v>
      </c>
      <c r="C445">
        <v>102</v>
      </c>
    </row>
    <row r="446" spans="1:3">
      <c r="A446" t="str">
        <f>"983082"</f>
        <v>983082</v>
      </c>
      <c r="B446" t="s">
        <v>3</v>
      </c>
      <c r="C446">
        <v>102</v>
      </c>
    </row>
    <row r="447" spans="1:3">
      <c r="A447" t="str">
        <f>"983083"</f>
        <v>983083</v>
      </c>
      <c r="B447" t="s">
        <v>3</v>
      </c>
      <c r="C447">
        <v>102</v>
      </c>
    </row>
    <row r="448" spans="1:3">
      <c r="A448" t="str">
        <f>"983084"</f>
        <v>983084</v>
      </c>
      <c r="B448" t="s">
        <v>3</v>
      </c>
      <c r="C448">
        <v>102</v>
      </c>
    </row>
    <row r="449" spans="1:3">
      <c r="A449" t="str">
        <f>"983085"</f>
        <v>983085</v>
      </c>
      <c r="B449" t="s">
        <v>3</v>
      </c>
      <c r="C449">
        <v>102</v>
      </c>
    </row>
    <row r="450" spans="1:3">
      <c r="A450" t="str">
        <f>"983086"</f>
        <v>983086</v>
      </c>
      <c r="B450" t="s">
        <v>3</v>
      </c>
      <c r="C450">
        <v>102</v>
      </c>
    </row>
    <row r="451" spans="1:3">
      <c r="A451" t="str">
        <f>"983087"</f>
        <v>983087</v>
      </c>
      <c r="B451" t="s">
        <v>3</v>
      </c>
      <c r="C451">
        <v>102</v>
      </c>
    </row>
    <row r="452" spans="1:3">
      <c r="A452" t="str">
        <f>"983088"</f>
        <v>983088</v>
      </c>
      <c r="B452" t="s">
        <v>3</v>
      </c>
      <c r="C452">
        <v>102</v>
      </c>
    </row>
    <row r="453" spans="1:3">
      <c r="A453" t="str">
        <f>"983089"</f>
        <v>983089</v>
      </c>
      <c r="B453" t="s">
        <v>3</v>
      </c>
      <c r="C453">
        <v>102</v>
      </c>
    </row>
    <row r="454" spans="1:3">
      <c r="A454" t="str">
        <f>"983090"</f>
        <v>983090</v>
      </c>
      <c r="B454" t="s">
        <v>3</v>
      </c>
      <c r="C454">
        <v>102</v>
      </c>
    </row>
    <row r="455" spans="1:3">
      <c r="A455" t="str">
        <f>"983091"</f>
        <v>983091</v>
      </c>
      <c r="B455" t="s">
        <v>3</v>
      </c>
      <c r="C455">
        <v>102</v>
      </c>
    </row>
    <row r="456" spans="1:3">
      <c r="A456" t="str">
        <f>"983092"</f>
        <v>983092</v>
      </c>
      <c r="B456" t="s">
        <v>3</v>
      </c>
      <c r="C456">
        <v>102</v>
      </c>
    </row>
    <row r="457" spans="1:3">
      <c r="A457" t="str">
        <f>"983101"</f>
        <v>983101</v>
      </c>
      <c r="B457" t="s">
        <v>3</v>
      </c>
      <c r="C457">
        <v>102</v>
      </c>
    </row>
    <row r="458" spans="1:3">
      <c r="A458" t="str">
        <f>"983102"</f>
        <v>983102</v>
      </c>
      <c r="B458" t="s">
        <v>3</v>
      </c>
      <c r="C458">
        <v>102</v>
      </c>
    </row>
    <row r="459" spans="1:3">
      <c r="A459" t="str">
        <f>"983103"</f>
        <v>983103</v>
      </c>
      <c r="B459" t="s">
        <v>3</v>
      </c>
      <c r="C459">
        <v>102</v>
      </c>
    </row>
    <row r="460" spans="1:3">
      <c r="A460" t="str">
        <f>"983104"</f>
        <v>983104</v>
      </c>
      <c r="B460" t="s">
        <v>3</v>
      </c>
      <c r="C460">
        <v>102</v>
      </c>
    </row>
    <row r="461" spans="1:3">
      <c r="A461" t="str">
        <f>"983105"</f>
        <v>983105</v>
      </c>
      <c r="B461" t="s">
        <v>3</v>
      </c>
      <c r="C461">
        <v>102</v>
      </c>
    </row>
    <row r="462" spans="1:3">
      <c r="A462" t="str">
        <f>"983106"</f>
        <v>983106</v>
      </c>
      <c r="B462" t="s">
        <v>3</v>
      </c>
      <c r="C462">
        <v>102</v>
      </c>
    </row>
    <row r="463" spans="1:3">
      <c r="A463" t="str">
        <f>"983160"</f>
        <v>983160</v>
      </c>
      <c r="B463" t="s">
        <v>3</v>
      </c>
      <c r="C463">
        <v>102</v>
      </c>
    </row>
    <row r="464" spans="1:3">
      <c r="A464" t="str">
        <f>"983161"</f>
        <v>983161</v>
      </c>
      <c r="B464" t="s">
        <v>3</v>
      </c>
      <c r="C464">
        <v>102</v>
      </c>
    </row>
    <row r="465" spans="1:3">
      <c r="A465" t="str">
        <f>"987001"</f>
        <v>987001</v>
      </c>
      <c r="B465" t="s">
        <v>3</v>
      </c>
      <c r="C465">
        <v>102</v>
      </c>
    </row>
    <row r="466" spans="1:3">
      <c r="A466" t="str">
        <f>"987002"</f>
        <v>987002</v>
      </c>
      <c r="B466" t="s">
        <v>3</v>
      </c>
      <c r="C466">
        <v>102</v>
      </c>
    </row>
    <row r="467" spans="1:3">
      <c r="A467" t="str">
        <f>"987003"</f>
        <v>987003</v>
      </c>
      <c r="B467" t="s">
        <v>3</v>
      </c>
      <c r="C467">
        <v>102</v>
      </c>
    </row>
    <row r="468" spans="1:3">
      <c r="A468" t="str">
        <f>"987004"</f>
        <v>987004</v>
      </c>
      <c r="B468" t="s">
        <v>3</v>
      </c>
      <c r="C468">
        <v>102</v>
      </c>
    </row>
    <row r="469" spans="1:3">
      <c r="A469" t="str">
        <f>"987006"</f>
        <v>987006</v>
      </c>
      <c r="B469" t="s">
        <v>3</v>
      </c>
      <c r="C469">
        <v>102</v>
      </c>
    </row>
    <row r="470" spans="1:3">
      <c r="A470" t="str">
        <f>"987007"</f>
        <v>987007</v>
      </c>
      <c r="B470" t="s">
        <v>3</v>
      </c>
      <c r="C470">
        <v>102</v>
      </c>
    </row>
    <row r="471" spans="1:3">
      <c r="A471" t="str">
        <f>"987008"</f>
        <v>987008</v>
      </c>
      <c r="B471" t="s">
        <v>3</v>
      </c>
      <c r="C471">
        <v>102</v>
      </c>
    </row>
    <row r="472" spans="1:3">
      <c r="A472" t="str">
        <f>"987010"</f>
        <v>987010</v>
      </c>
      <c r="B472" t="s">
        <v>3</v>
      </c>
      <c r="C472">
        <v>102</v>
      </c>
    </row>
    <row r="473" spans="1:3">
      <c r="A473" t="str">
        <f>"987011"</f>
        <v>987011</v>
      </c>
      <c r="B473" t="s">
        <v>3</v>
      </c>
      <c r="C473">
        <v>102</v>
      </c>
    </row>
    <row r="474" spans="1:3">
      <c r="A474" t="str">
        <f>"987012"</f>
        <v>987012</v>
      </c>
      <c r="B474" t="s">
        <v>3</v>
      </c>
      <c r="C474">
        <v>102</v>
      </c>
    </row>
    <row r="475" spans="1:3">
      <c r="A475" t="str">
        <f>"987013"</f>
        <v>987013</v>
      </c>
      <c r="B475" t="s">
        <v>3</v>
      </c>
      <c r="C475">
        <v>102</v>
      </c>
    </row>
    <row r="476" spans="1:3">
      <c r="A476" t="str">
        <f>"987014"</f>
        <v>987014</v>
      </c>
      <c r="B476" t="s">
        <v>3</v>
      </c>
      <c r="C476">
        <v>102</v>
      </c>
    </row>
    <row r="477" spans="1:3">
      <c r="A477" t="str">
        <f>"987015"</f>
        <v>987015</v>
      </c>
      <c r="B477" t="s">
        <v>3</v>
      </c>
      <c r="C477">
        <v>102</v>
      </c>
    </row>
    <row r="478" spans="1:3">
      <c r="A478" t="str">
        <f>"987016"</f>
        <v>987016</v>
      </c>
      <c r="B478" t="s">
        <v>3</v>
      </c>
      <c r="C478">
        <v>102</v>
      </c>
    </row>
    <row r="479" spans="1:3">
      <c r="A479" t="str">
        <f>"987017"</f>
        <v>987017</v>
      </c>
      <c r="B479" t="s">
        <v>3</v>
      </c>
      <c r="C479">
        <v>102</v>
      </c>
    </row>
    <row r="480" spans="1:3">
      <c r="A480" t="str">
        <f>"987018"</f>
        <v>987018</v>
      </c>
      <c r="B480" t="s">
        <v>3</v>
      </c>
      <c r="C480">
        <v>102</v>
      </c>
    </row>
    <row r="481" spans="1:3">
      <c r="A481" t="str">
        <f>"987019"</f>
        <v>987019</v>
      </c>
      <c r="B481" t="s">
        <v>3</v>
      </c>
      <c r="C481">
        <v>102</v>
      </c>
    </row>
    <row r="482" spans="1:3">
      <c r="A482" t="str">
        <f>"987020"</f>
        <v>987020</v>
      </c>
      <c r="B482" t="s">
        <v>3</v>
      </c>
      <c r="C482">
        <v>102</v>
      </c>
    </row>
    <row r="483" spans="1:3">
      <c r="A483" t="str">
        <f>"987021"</f>
        <v>987021</v>
      </c>
      <c r="B483" t="s">
        <v>3</v>
      </c>
      <c r="C483">
        <v>102</v>
      </c>
    </row>
    <row r="484" spans="1:3">
      <c r="A484" t="str">
        <f>"987022"</f>
        <v>987022</v>
      </c>
      <c r="B484" t="s">
        <v>3</v>
      </c>
      <c r="C484">
        <v>102</v>
      </c>
    </row>
    <row r="485" spans="1:3">
      <c r="A485" t="str">
        <f>"987024"</f>
        <v>987024</v>
      </c>
      <c r="B485" t="s">
        <v>3</v>
      </c>
      <c r="C485">
        <v>102</v>
      </c>
    </row>
    <row r="486" spans="1:3">
      <c r="A486" t="str">
        <f>"987026"</f>
        <v>987026</v>
      </c>
      <c r="B486" t="s">
        <v>3</v>
      </c>
      <c r="C486">
        <v>102</v>
      </c>
    </row>
    <row r="487" spans="1:3">
      <c r="A487" t="str">
        <f>"987027"</f>
        <v>987027</v>
      </c>
      <c r="B487" t="s">
        <v>3</v>
      </c>
      <c r="C487">
        <v>102</v>
      </c>
    </row>
    <row r="488" spans="1:3">
      <c r="A488" t="str">
        <f>"AITCNYG"</f>
        <v>AITCNYG</v>
      </c>
      <c r="B488" t="s">
        <v>3</v>
      </c>
      <c r="C488">
        <v>102</v>
      </c>
    </row>
    <row r="489" spans="1:3">
      <c r="A489" t="str">
        <f>"BNRCNYG"</f>
        <v>BNRCNYG</v>
      </c>
      <c r="B489" t="s">
        <v>3</v>
      </c>
      <c r="C489">
        <v>102</v>
      </c>
    </row>
    <row r="490" spans="1:3">
      <c r="A490" t="str">
        <f>"CESAIT"</f>
        <v>CESAIT</v>
      </c>
      <c r="B490" t="s">
        <v>3</v>
      </c>
      <c r="C490">
        <v>102</v>
      </c>
    </row>
    <row r="491" spans="1:3">
      <c r="A491" t="str">
        <f>"CESBNR"</f>
        <v>CESBNR</v>
      </c>
      <c r="B491" t="s">
        <v>3</v>
      </c>
      <c r="C491">
        <v>102</v>
      </c>
    </row>
    <row r="492" spans="1:3">
      <c r="A492" t="str">
        <f>"CESFAC"</f>
        <v>CESFAC</v>
      </c>
      <c r="B492" t="s">
        <v>3</v>
      </c>
      <c r="C492">
        <v>102</v>
      </c>
    </row>
    <row r="493" spans="1:3">
      <c r="A493" t="str">
        <f>"CESGBA"</f>
        <v>CESGBA</v>
      </c>
      <c r="B493" t="s">
        <v>3</v>
      </c>
      <c r="C493">
        <v>102</v>
      </c>
    </row>
    <row r="494" spans="1:3">
      <c r="A494" t="str">
        <f>"CESGTH"</f>
        <v>CESGTH</v>
      </c>
      <c r="B494" t="s">
        <v>3</v>
      </c>
      <c r="C494">
        <v>102</v>
      </c>
    </row>
    <row r="495" spans="1:3">
      <c r="A495" t="str">
        <f>"CESIBT"</f>
        <v>CESIBT</v>
      </c>
      <c r="B495" t="s">
        <v>3</v>
      </c>
      <c r="C495">
        <v>102</v>
      </c>
    </row>
    <row r="496" spans="1:3">
      <c r="A496" t="str">
        <f>"CESMOT"</f>
        <v>CESMOT</v>
      </c>
      <c r="B496" t="s">
        <v>3</v>
      </c>
      <c r="C496">
        <v>102</v>
      </c>
    </row>
    <row r="497" spans="1:3">
      <c r="A497" t="str">
        <f>"CESPEL"</f>
        <v>CESPEL</v>
      </c>
      <c r="B497" t="s">
        <v>3</v>
      </c>
      <c r="C497">
        <v>102</v>
      </c>
    </row>
    <row r="498" spans="1:3">
      <c r="A498" t="str">
        <f>"CESPSM"</f>
        <v>CESPSM</v>
      </c>
      <c r="B498" t="s">
        <v>3</v>
      </c>
      <c r="C498">
        <v>102</v>
      </c>
    </row>
    <row r="499" spans="1:3">
      <c r="A499" t="str">
        <f>"CESRET"</f>
        <v>CESRET</v>
      </c>
      <c r="B499" t="s">
        <v>3</v>
      </c>
      <c r="C499">
        <v>102</v>
      </c>
    </row>
    <row r="500" spans="1:3">
      <c r="A500" t="str">
        <f>"CESVAL"</f>
        <v>CESVAL</v>
      </c>
      <c r="B500" t="s">
        <v>3</v>
      </c>
      <c r="C500">
        <v>102</v>
      </c>
    </row>
    <row r="501" spans="1:3">
      <c r="A501" t="str">
        <f>"CESYLV"</f>
        <v>CESYLV</v>
      </c>
      <c r="B501" t="s">
        <v>3</v>
      </c>
      <c r="C501">
        <v>102</v>
      </c>
    </row>
    <row r="502" spans="1:3">
      <c r="A502" t="str">
        <f>"CN2008"</f>
        <v>CN2008</v>
      </c>
      <c r="B502" t="s">
        <v>3</v>
      </c>
      <c r="C502">
        <v>102</v>
      </c>
    </row>
    <row r="503" spans="1:3">
      <c r="A503" t="str">
        <f>"CN2010"</f>
        <v>CN2010</v>
      </c>
      <c r="B503" t="s">
        <v>3</v>
      </c>
      <c r="C503">
        <v>102</v>
      </c>
    </row>
    <row r="504" spans="1:3">
      <c r="A504" t="str">
        <f>"CN2011"</f>
        <v>CN2011</v>
      </c>
      <c r="B504" t="s">
        <v>3</v>
      </c>
      <c r="C504">
        <v>102</v>
      </c>
    </row>
    <row r="505" spans="1:3">
      <c r="A505" t="str">
        <f>"CN2012"</f>
        <v>CN2012</v>
      </c>
      <c r="B505" t="s">
        <v>3</v>
      </c>
      <c r="C505">
        <v>102</v>
      </c>
    </row>
    <row r="506" spans="1:3">
      <c r="A506" t="str">
        <f>"CN2013"</f>
        <v>CN2013</v>
      </c>
      <c r="B506" t="s">
        <v>3</v>
      </c>
      <c r="C506">
        <v>102</v>
      </c>
    </row>
    <row r="507" spans="1:3">
      <c r="A507" t="str">
        <f>"CN2015"</f>
        <v>CN2015</v>
      </c>
      <c r="B507" t="s">
        <v>3</v>
      </c>
      <c r="C507">
        <v>102</v>
      </c>
    </row>
    <row r="508" spans="1:3">
      <c r="A508" t="str">
        <f>"CN2016"</f>
        <v>CN2016</v>
      </c>
      <c r="B508" t="s">
        <v>3</v>
      </c>
      <c r="C508">
        <v>102</v>
      </c>
    </row>
    <row r="509" spans="1:3">
      <c r="A509" t="str">
        <f>"CN2017"</f>
        <v>CN2017</v>
      </c>
      <c r="B509" t="s">
        <v>3</v>
      </c>
      <c r="C509">
        <v>102</v>
      </c>
    </row>
    <row r="510" spans="1:3">
      <c r="A510" t="str">
        <f>"CN2018"</f>
        <v>CN2018</v>
      </c>
      <c r="B510" t="s">
        <v>3</v>
      </c>
      <c r="C510">
        <v>102</v>
      </c>
    </row>
    <row r="511" spans="1:3">
      <c r="A511" t="str">
        <f>"CN2019"</f>
        <v>CN2019</v>
      </c>
      <c r="B511" t="s">
        <v>3</v>
      </c>
      <c r="C511">
        <v>102</v>
      </c>
    </row>
    <row r="512" spans="1:3">
      <c r="A512" t="str">
        <f>"CN2020"</f>
        <v>CN2020</v>
      </c>
      <c r="B512" t="s">
        <v>3</v>
      </c>
      <c r="C512">
        <v>102</v>
      </c>
    </row>
    <row r="513" spans="1:3">
      <c r="A513" t="str">
        <f>"CN2030"</f>
        <v>CN2030</v>
      </c>
      <c r="B513" t="s">
        <v>3</v>
      </c>
      <c r="C513">
        <v>102</v>
      </c>
    </row>
    <row r="514" spans="1:3">
      <c r="A514" t="str">
        <f>"CN2050"</f>
        <v>CN2050</v>
      </c>
      <c r="B514" t="s">
        <v>3</v>
      </c>
      <c r="C514">
        <v>102</v>
      </c>
    </row>
    <row r="515" spans="1:3">
      <c r="A515" t="str">
        <f>"CN2060"</f>
        <v>CN2060</v>
      </c>
      <c r="B515" t="s">
        <v>3</v>
      </c>
      <c r="C515">
        <v>102</v>
      </c>
    </row>
    <row r="516" spans="1:3">
      <c r="A516" t="str">
        <f>"CN2088"</f>
        <v>CN2088</v>
      </c>
      <c r="B516" t="s">
        <v>3</v>
      </c>
      <c r="C516">
        <v>102</v>
      </c>
    </row>
    <row r="517" spans="1:3">
      <c r="A517" t="str">
        <f>"CN2258"</f>
        <v>CN2258</v>
      </c>
      <c r="B517" t="s">
        <v>3</v>
      </c>
      <c r="C517">
        <v>102</v>
      </c>
    </row>
    <row r="518" spans="1:3">
      <c r="A518" t="str">
        <f>"CN2259"</f>
        <v>CN2259</v>
      </c>
      <c r="B518" t="s">
        <v>3</v>
      </c>
      <c r="C518">
        <v>102</v>
      </c>
    </row>
    <row r="519" spans="1:3">
      <c r="A519" t="str">
        <f>"CN2260"</f>
        <v>CN2260</v>
      </c>
      <c r="B519" t="s">
        <v>3</v>
      </c>
      <c r="C519">
        <v>102</v>
      </c>
    </row>
    <row r="520" spans="1:3">
      <c r="A520" t="str">
        <f>"CN2261"</f>
        <v>CN2261</v>
      </c>
      <c r="B520" t="s">
        <v>3</v>
      </c>
      <c r="C520">
        <v>102</v>
      </c>
    </row>
    <row r="521" spans="1:3">
      <c r="A521" t="str">
        <f>"CN2262"</f>
        <v>CN2262</v>
      </c>
      <c r="B521" t="s">
        <v>3</v>
      </c>
      <c r="C521">
        <v>102</v>
      </c>
    </row>
    <row r="522" spans="1:3">
      <c r="A522" t="str">
        <f>"CN2263"</f>
        <v>CN2263</v>
      </c>
      <c r="B522" t="s">
        <v>3</v>
      </c>
      <c r="C522">
        <v>102</v>
      </c>
    </row>
    <row r="523" spans="1:3">
      <c r="A523" t="str">
        <f>"CN2265"</f>
        <v>CN2265</v>
      </c>
      <c r="B523" t="s">
        <v>3</v>
      </c>
      <c r="C523">
        <v>102</v>
      </c>
    </row>
    <row r="524" spans="1:3">
      <c r="A524" t="str">
        <f>"CN2266"</f>
        <v>CN2266</v>
      </c>
      <c r="B524" t="s">
        <v>3</v>
      </c>
      <c r="C524">
        <v>102</v>
      </c>
    </row>
    <row r="525" spans="1:3">
      <c r="A525" t="str">
        <f>"CN2269"</f>
        <v>CN2269</v>
      </c>
      <c r="B525" t="s">
        <v>3</v>
      </c>
      <c r="C525">
        <v>102</v>
      </c>
    </row>
    <row r="526" spans="1:3">
      <c r="A526" t="str">
        <f>"CN2274"</f>
        <v>CN2274</v>
      </c>
      <c r="B526" t="s">
        <v>3</v>
      </c>
      <c r="C526">
        <v>102</v>
      </c>
    </row>
    <row r="527" spans="1:3">
      <c r="A527" t="str">
        <f>"CN2275"</f>
        <v>CN2275</v>
      </c>
      <c r="B527" t="s">
        <v>3</v>
      </c>
      <c r="C527">
        <v>102</v>
      </c>
    </row>
    <row r="528" spans="1:3">
      <c r="A528" t="str">
        <f>"CN2276"</f>
        <v>CN2276</v>
      </c>
      <c r="B528" t="s">
        <v>3</v>
      </c>
      <c r="C528">
        <v>102</v>
      </c>
    </row>
    <row r="529" spans="1:3">
      <c r="A529" t="str">
        <f>"CN2277"</f>
        <v>CN2277</v>
      </c>
      <c r="B529" t="s">
        <v>3</v>
      </c>
      <c r="C529">
        <v>102</v>
      </c>
    </row>
    <row r="530" spans="1:3">
      <c r="A530" t="str">
        <f>"CN2278"</f>
        <v>CN2278</v>
      </c>
      <c r="B530" t="s">
        <v>3</v>
      </c>
      <c r="C530">
        <v>102</v>
      </c>
    </row>
    <row r="531" spans="1:3">
      <c r="A531" t="str">
        <f>"CN2279"</f>
        <v>CN2279</v>
      </c>
      <c r="B531" t="s">
        <v>3</v>
      </c>
      <c r="C531">
        <v>102</v>
      </c>
    </row>
    <row r="532" spans="1:3">
      <c r="A532" t="str">
        <f>"CN2280"</f>
        <v>CN2280</v>
      </c>
      <c r="B532" t="s">
        <v>3</v>
      </c>
      <c r="C532">
        <v>102</v>
      </c>
    </row>
    <row r="533" spans="1:3">
      <c r="A533" t="str">
        <f>"CN2281"</f>
        <v>CN2281</v>
      </c>
      <c r="B533" t="s">
        <v>3</v>
      </c>
      <c r="C533">
        <v>102</v>
      </c>
    </row>
    <row r="534" spans="1:3">
      <c r="A534" t="str">
        <f>"CN2282"</f>
        <v>CN2282</v>
      </c>
      <c r="B534" t="s">
        <v>3</v>
      </c>
      <c r="C534">
        <v>102</v>
      </c>
    </row>
    <row r="535" spans="1:3">
      <c r="A535" t="str">
        <f>"CN2283"</f>
        <v>CN2283</v>
      </c>
      <c r="B535" t="s">
        <v>3</v>
      </c>
      <c r="C535">
        <v>102</v>
      </c>
    </row>
    <row r="536" spans="1:3">
      <c r="A536" t="str">
        <f>"CN2284"</f>
        <v>CN2284</v>
      </c>
      <c r="B536" t="s">
        <v>3</v>
      </c>
      <c r="C536">
        <v>102</v>
      </c>
    </row>
    <row r="537" spans="1:3">
      <c r="A537" t="str">
        <f>"CN2285"</f>
        <v>CN2285</v>
      </c>
      <c r="B537" t="s">
        <v>3</v>
      </c>
      <c r="C537">
        <v>102</v>
      </c>
    </row>
    <row r="538" spans="1:3">
      <c r="A538" t="str">
        <f>"CN2286"</f>
        <v>CN2286</v>
      </c>
      <c r="B538" t="s">
        <v>3</v>
      </c>
      <c r="C538">
        <v>102</v>
      </c>
    </row>
    <row r="539" spans="1:3">
      <c r="A539" t="str">
        <f>"CN2291"</f>
        <v>CN2291</v>
      </c>
      <c r="B539" t="s">
        <v>3</v>
      </c>
      <c r="C539">
        <v>102</v>
      </c>
    </row>
    <row r="540" spans="1:3">
      <c r="A540" t="str">
        <f>"CN2292"</f>
        <v>CN2292</v>
      </c>
      <c r="B540" t="s">
        <v>3</v>
      </c>
      <c r="C540">
        <v>102</v>
      </c>
    </row>
    <row r="541" spans="1:3">
      <c r="A541" t="str">
        <f>"CN2293"</f>
        <v>CN2293</v>
      </c>
      <c r="B541" t="s">
        <v>3</v>
      </c>
      <c r="C541">
        <v>102</v>
      </c>
    </row>
    <row r="542" spans="1:3">
      <c r="A542" t="str">
        <f>"CN2294"</f>
        <v>CN2294</v>
      </c>
      <c r="B542" t="s">
        <v>3</v>
      </c>
      <c r="C542">
        <v>102</v>
      </c>
    </row>
    <row r="543" spans="1:3">
      <c r="A543" t="str">
        <f>"CN2295"</f>
        <v>CN2295</v>
      </c>
      <c r="B543" t="s">
        <v>3</v>
      </c>
      <c r="C543">
        <v>102</v>
      </c>
    </row>
    <row r="544" spans="1:3">
      <c r="A544" t="str">
        <f>"CN2296"</f>
        <v>CN2296</v>
      </c>
      <c r="B544" t="s">
        <v>3</v>
      </c>
      <c r="C544">
        <v>102</v>
      </c>
    </row>
    <row r="545" spans="1:3">
      <c r="A545" t="str">
        <f>"CN2297"</f>
        <v>CN2297</v>
      </c>
      <c r="B545" t="s">
        <v>3</v>
      </c>
      <c r="C545">
        <v>102</v>
      </c>
    </row>
    <row r="546" spans="1:3">
      <c r="A546" t="str">
        <f>"CN2303"</f>
        <v>CN2303</v>
      </c>
      <c r="B546" t="s">
        <v>3</v>
      </c>
      <c r="C546">
        <v>102</v>
      </c>
    </row>
    <row r="547" spans="1:3">
      <c r="A547" t="str">
        <f>"CN2310"</f>
        <v>CN2310</v>
      </c>
      <c r="B547" t="s">
        <v>3</v>
      </c>
      <c r="C547">
        <v>102</v>
      </c>
    </row>
    <row r="548" spans="1:3">
      <c r="A548" t="str">
        <f>"CN2311"</f>
        <v>CN2311</v>
      </c>
      <c r="B548" t="s">
        <v>3</v>
      </c>
      <c r="C548">
        <v>102</v>
      </c>
    </row>
    <row r="549" spans="1:3">
      <c r="A549" t="str">
        <f>"CN2312"</f>
        <v>CN2312</v>
      </c>
      <c r="B549" t="s">
        <v>3</v>
      </c>
      <c r="C549">
        <v>102</v>
      </c>
    </row>
    <row r="550" spans="1:3">
      <c r="A550" t="str">
        <f>"CN2313"</f>
        <v>CN2313</v>
      </c>
      <c r="B550" t="s">
        <v>3</v>
      </c>
      <c r="C550">
        <v>102</v>
      </c>
    </row>
    <row r="551" spans="1:3">
      <c r="A551" t="str">
        <f>"CN2314"</f>
        <v>CN2314</v>
      </c>
      <c r="B551" t="s">
        <v>3</v>
      </c>
      <c r="C551">
        <v>102</v>
      </c>
    </row>
    <row r="552" spans="1:3">
      <c r="A552" t="str">
        <f>"CN2315"</f>
        <v>CN2315</v>
      </c>
      <c r="B552" t="s">
        <v>3</v>
      </c>
      <c r="C552">
        <v>102</v>
      </c>
    </row>
    <row r="553" spans="1:3">
      <c r="A553" t="str">
        <f>"CN2316"</f>
        <v>CN2316</v>
      </c>
      <c r="B553" t="s">
        <v>3</v>
      </c>
      <c r="C553">
        <v>102</v>
      </c>
    </row>
    <row r="554" spans="1:3">
      <c r="A554" t="str">
        <f>"CN2319"</f>
        <v>CN2319</v>
      </c>
      <c r="B554" t="s">
        <v>3</v>
      </c>
      <c r="C554">
        <v>102</v>
      </c>
    </row>
    <row r="555" spans="1:3">
      <c r="A555" t="str">
        <f>"CN2320"</f>
        <v>CN2320</v>
      </c>
      <c r="B555" t="s">
        <v>3</v>
      </c>
      <c r="C555">
        <v>102</v>
      </c>
    </row>
    <row r="556" spans="1:3">
      <c r="A556" t="str">
        <f>"CN2321"</f>
        <v>CN2321</v>
      </c>
      <c r="B556" t="s">
        <v>3</v>
      </c>
      <c r="C556">
        <v>102</v>
      </c>
    </row>
    <row r="557" spans="1:3">
      <c r="A557" t="str">
        <f>"CN2322"</f>
        <v>CN2322</v>
      </c>
      <c r="B557" t="s">
        <v>3</v>
      </c>
      <c r="C557">
        <v>102</v>
      </c>
    </row>
    <row r="558" spans="1:3">
      <c r="A558" t="str">
        <f>"CN2324"</f>
        <v>CN2324</v>
      </c>
      <c r="B558" t="s">
        <v>3</v>
      </c>
      <c r="C558">
        <v>102</v>
      </c>
    </row>
    <row r="559" spans="1:3">
      <c r="A559" t="str">
        <f>"CN2326"</f>
        <v>CN2326</v>
      </c>
      <c r="B559" t="s">
        <v>3</v>
      </c>
      <c r="C559">
        <v>102</v>
      </c>
    </row>
    <row r="560" spans="1:3">
      <c r="A560" t="str">
        <f>"CN2328"</f>
        <v>CN2328</v>
      </c>
      <c r="B560" t="s">
        <v>3</v>
      </c>
      <c r="C560">
        <v>102</v>
      </c>
    </row>
    <row r="561" spans="1:3">
      <c r="A561" t="str">
        <f>"CN2335"</f>
        <v>CN2335</v>
      </c>
      <c r="B561" t="s">
        <v>3</v>
      </c>
      <c r="C561">
        <v>102</v>
      </c>
    </row>
    <row r="562" spans="1:3">
      <c r="A562" t="str">
        <f>"CN2337"</f>
        <v>CN2337</v>
      </c>
      <c r="B562" t="s">
        <v>3</v>
      </c>
      <c r="C562">
        <v>102</v>
      </c>
    </row>
    <row r="563" spans="1:3">
      <c r="A563" t="str">
        <f>"CN2339"</f>
        <v>CN2339</v>
      </c>
      <c r="B563" t="s">
        <v>3</v>
      </c>
      <c r="C563">
        <v>102</v>
      </c>
    </row>
    <row r="564" spans="1:3">
      <c r="A564" t="str">
        <f>"CN2341"</f>
        <v>CN2341</v>
      </c>
      <c r="B564" t="s">
        <v>3</v>
      </c>
      <c r="C564">
        <v>102</v>
      </c>
    </row>
    <row r="565" spans="1:3">
      <c r="A565" t="str">
        <f>"CN2346"</f>
        <v>CN2346</v>
      </c>
      <c r="B565" t="s">
        <v>3</v>
      </c>
      <c r="C565">
        <v>102</v>
      </c>
    </row>
    <row r="566" spans="1:3">
      <c r="A566" t="str">
        <f>"CN2348"</f>
        <v>CN2348</v>
      </c>
      <c r="B566" t="s">
        <v>3</v>
      </c>
      <c r="C566">
        <v>102</v>
      </c>
    </row>
    <row r="567" spans="1:3">
      <c r="A567" t="str">
        <f>"CN2350"</f>
        <v>CN2350</v>
      </c>
      <c r="B567" t="s">
        <v>3</v>
      </c>
      <c r="C567">
        <v>102</v>
      </c>
    </row>
    <row r="568" spans="1:3">
      <c r="A568" t="str">
        <f>"CN2351"</f>
        <v>CN2351</v>
      </c>
      <c r="B568" t="s">
        <v>3</v>
      </c>
      <c r="C568">
        <v>102</v>
      </c>
    </row>
    <row r="569" spans="1:3">
      <c r="A569" t="str">
        <f>"CN2353"</f>
        <v>CN2353</v>
      </c>
      <c r="B569" t="s">
        <v>3</v>
      </c>
      <c r="C569">
        <v>102</v>
      </c>
    </row>
    <row r="570" spans="1:3">
      <c r="A570" t="str">
        <f>"CN2354"</f>
        <v>CN2354</v>
      </c>
      <c r="B570" t="s">
        <v>3</v>
      </c>
      <c r="C570">
        <v>102</v>
      </c>
    </row>
    <row r="571" spans="1:3">
      <c r="A571" t="str">
        <f>"CN2355"</f>
        <v>CN2355</v>
      </c>
      <c r="B571" t="s">
        <v>3</v>
      </c>
      <c r="C571">
        <v>102</v>
      </c>
    </row>
    <row r="572" spans="1:3">
      <c r="A572" t="str">
        <f>"CN2356"</f>
        <v>CN2356</v>
      </c>
      <c r="B572" t="s">
        <v>3</v>
      </c>
      <c r="C572">
        <v>102</v>
      </c>
    </row>
    <row r="573" spans="1:3">
      <c r="A573" t="str">
        <f>"CN2357"</f>
        <v>CN2357</v>
      </c>
      <c r="B573" t="s">
        <v>3</v>
      </c>
      <c r="C573">
        <v>102</v>
      </c>
    </row>
    <row r="574" spans="1:3">
      <c r="A574" t="str">
        <f>"CN2358"</f>
        <v>CN2358</v>
      </c>
      <c r="B574" t="s">
        <v>3</v>
      </c>
      <c r="C574">
        <v>102</v>
      </c>
    </row>
    <row r="575" spans="1:3">
      <c r="A575" t="str">
        <f>"CN2360"</f>
        <v>CN2360</v>
      </c>
      <c r="B575" t="s">
        <v>3</v>
      </c>
      <c r="C575">
        <v>102</v>
      </c>
    </row>
    <row r="576" spans="1:3">
      <c r="A576" t="str">
        <f>"CN2361"</f>
        <v>CN2361</v>
      </c>
      <c r="B576" t="s">
        <v>3</v>
      </c>
      <c r="C576">
        <v>102</v>
      </c>
    </row>
    <row r="577" spans="1:3">
      <c r="A577" t="str">
        <f>"CN2363"</f>
        <v>CN2363</v>
      </c>
      <c r="B577" t="s">
        <v>3</v>
      </c>
      <c r="C577">
        <v>102</v>
      </c>
    </row>
    <row r="578" spans="1:3">
      <c r="A578" t="str">
        <f>"CN2366"</f>
        <v>CN2366</v>
      </c>
      <c r="B578" t="s">
        <v>3</v>
      </c>
      <c r="C578">
        <v>102</v>
      </c>
    </row>
    <row r="579" spans="1:3">
      <c r="A579" t="str">
        <f>"CN2367"</f>
        <v>CN2367</v>
      </c>
      <c r="B579" t="s">
        <v>3</v>
      </c>
      <c r="C579">
        <v>102</v>
      </c>
    </row>
    <row r="580" spans="1:3">
      <c r="A580" t="str">
        <f>"CN2368"</f>
        <v>CN2368</v>
      </c>
      <c r="B580" t="s">
        <v>3</v>
      </c>
      <c r="C580">
        <v>102</v>
      </c>
    </row>
    <row r="581" spans="1:3">
      <c r="A581" t="str">
        <f>"CN2369"</f>
        <v>CN2369</v>
      </c>
      <c r="B581" t="s">
        <v>3</v>
      </c>
      <c r="C581">
        <v>102</v>
      </c>
    </row>
    <row r="582" spans="1:3">
      <c r="A582" t="str">
        <f>"CN2370"</f>
        <v>CN2370</v>
      </c>
      <c r="B582" t="s">
        <v>3</v>
      </c>
      <c r="C582">
        <v>102</v>
      </c>
    </row>
    <row r="583" spans="1:3">
      <c r="A583" t="str">
        <f>"CN2371"</f>
        <v>CN2371</v>
      </c>
      <c r="B583" t="s">
        <v>3</v>
      </c>
      <c r="C583">
        <v>102</v>
      </c>
    </row>
    <row r="584" spans="1:3">
      <c r="A584" t="str">
        <f>"CN2372"</f>
        <v>CN2372</v>
      </c>
      <c r="B584" t="s">
        <v>3</v>
      </c>
      <c r="C584">
        <v>102</v>
      </c>
    </row>
    <row r="585" spans="1:3">
      <c r="A585" t="str">
        <f>"CN2373"</f>
        <v>CN2373</v>
      </c>
      <c r="B585" t="s">
        <v>3</v>
      </c>
      <c r="C585">
        <v>102</v>
      </c>
    </row>
    <row r="586" spans="1:3">
      <c r="A586" t="str">
        <f>"CN2374"</f>
        <v>CN2374</v>
      </c>
      <c r="B586" t="s">
        <v>3</v>
      </c>
      <c r="C586">
        <v>102</v>
      </c>
    </row>
    <row r="587" spans="1:3">
      <c r="A587" t="str">
        <f>"CN2375"</f>
        <v>CN2375</v>
      </c>
      <c r="B587" t="s">
        <v>3</v>
      </c>
      <c r="C587">
        <v>102</v>
      </c>
    </row>
    <row r="588" spans="1:3">
      <c r="A588" t="str">
        <f>"CN2376"</f>
        <v>CN2376</v>
      </c>
      <c r="B588" t="s">
        <v>3</v>
      </c>
      <c r="C588">
        <v>102</v>
      </c>
    </row>
    <row r="589" spans="1:3">
      <c r="A589" t="str">
        <f>"CN2377"</f>
        <v>CN2377</v>
      </c>
      <c r="B589" t="s">
        <v>3</v>
      </c>
      <c r="C589">
        <v>102</v>
      </c>
    </row>
    <row r="590" spans="1:3">
      <c r="A590" t="str">
        <f>"CN2378"</f>
        <v>CN2378</v>
      </c>
      <c r="B590" t="s">
        <v>3</v>
      </c>
      <c r="C590">
        <v>102</v>
      </c>
    </row>
    <row r="591" spans="1:3">
      <c r="A591" t="str">
        <f>"CN2381"</f>
        <v>CN2381</v>
      </c>
      <c r="B591" t="s">
        <v>3</v>
      </c>
      <c r="C591">
        <v>102</v>
      </c>
    </row>
    <row r="592" spans="1:3">
      <c r="A592" t="str">
        <f>"CN2382"</f>
        <v>CN2382</v>
      </c>
      <c r="B592" t="s">
        <v>3</v>
      </c>
      <c r="C592">
        <v>102</v>
      </c>
    </row>
    <row r="593" spans="1:3">
      <c r="A593" t="str">
        <f>"CN2383"</f>
        <v>CN2383</v>
      </c>
      <c r="B593" t="s">
        <v>3</v>
      </c>
      <c r="C593">
        <v>102</v>
      </c>
    </row>
    <row r="594" spans="1:3">
      <c r="A594" t="str">
        <f>"CN2384"</f>
        <v>CN2384</v>
      </c>
      <c r="B594" t="s">
        <v>3</v>
      </c>
      <c r="C594">
        <v>102</v>
      </c>
    </row>
    <row r="595" spans="1:3">
      <c r="A595" t="str">
        <f>"CN2385"</f>
        <v>CN2385</v>
      </c>
      <c r="B595" t="s">
        <v>3</v>
      </c>
      <c r="C595">
        <v>102</v>
      </c>
    </row>
    <row r="596" spans="1:3">
      <c r="A596" t="str">
        <f>"CN2386"</f>
        <v>CN2386</v>
      </c>
      <c r="B596" t="s">
        <v>3</v>
      </c>
      <c r="C596">
        <v>102</v>
      </c>
    </row>
    <row r="597" spans="1:3">
      <c r="A597" t="str">
        <f>"CN2387"</f>
        <v>CN2387</v>
      </c>
      <c r="B597" t="s">
        <v>3</v>
      </c>
      <c r="C597">
        <v>102</v>
      </c>
    </row>
    <row r="598" spans="1:3">
      <c r="A598" t="str">
        <f>"CN2388"</f>
        <v>CN2388</v>
      </c>
      <c r="B598" t="s">
        <v>3</v>
      </c>
      <c r="C598">
        <v>102</v>
      </c>
    </row>
    <row r="599" spans="1:3">
      <c r="A599" t="str">
        <f>"CN2389"</f>
        <v>CN2389</v>
      </c>
      <c r="B599" t="s">
        <v>3</v>
      </c>
      <c r="C599">
        <v>102</v>
      </c>
    </row>
    <row r="600" spans="1:3">
      <c r="A600" t="str">
        <f>"CN2390"</f>
        <v>CN2390</v>
      </c>
      <c r="B600" t="s">
        <v>3</v>
      </c>
      <c r="C600">
        <v>102</v>
      </c>
    </row>
    <row r="601" spans="1:3">
      <c r="A601" t="str">
        <f>"CN2391"</f>
        <v>CN2391</v>
      </c>
      <c r="B601" t="s">
        <v>3</v>
      </c>
      <c r="C601">
        <v>102</v>
      </c>
    </row>
    <row r="602" spans="1:3">
      <c r="A602" t="str">
        <f>"CN2392"</f>
        <v>CN2392</v>
      </c>
      <c r="B602" t="s">
        <v>3</v>
      </c>
      <c r="C602">
        <v>102</v>
      </c>
    </row>
    <row r="603" spans="1:3">
      <c r="A603" t="str">
        <f>"CN2393"</f>
        <v>CN2393</v>
      </c>
      <c r="B603" t="s">
        <v>3</v>
      </c>
      <c r="C603">
        <v>102</v>
      </c>
    </row>
    <row r="604" spans="1:3">
      <c r="A604" t="str">
        <f>"CN2394"</f>
        <v>CN2394</v>
      </c>
      <c r="B604" t="s">
        <v>3</v>
      </c>
      <c r="C604">
        <v>102</v>
      </c>
    </row>
    <row r="605" spans="1:3">
      <c r="A605" t="str">
        <f>"CN2395"</f>
        <v>CN2395</v>
      </c>
      <c r="B605" t="s">
        <v>3</v>
      </c>
      <c r="C605">
        <v>102</v>
      </c>
    </row>
    <row r="606" spans="1:3">
      <c r="A606" t="str">
        <f>"CN2396"</f>
        <v>CN2396</v>
      </c>
      <c r="B606" t="s">
        <v>3</v>
      </c>
      <c r="C606">
        <v>102</v>
      </c>
    </row>
    <row r="607" spans="1:3">
      <c r="A607" t="str">
        <f>"CN2397"</f>
        <v>CN2397</v>
      </c>
      <c r="B607" t="s">
        <v>3</v>
      </c>
      <c r="C607">
        <v>102</v>
      </c>
    </row>
    <row r="608" spans="1:3">
      <c r="A608" t="str">
        <f>"CN2398"</f>
        <v>CN2398</v>
      </c>
      <c r="B608" t="s">
        <v>3</v>
      </c>
      <c r="C608">
        <v>102</v>
      </c>
    </row>
    <row r="609" spans="1:3">
      <c r="A609" t="str">
        <f>"CN2399"</f>
        <v>CN2399</v>
      </c>
      <c r="B609" t="s">
        <v>3</v>
      </c>
      <c r="C609">
        <v>102</v>
      </c>
    </row>
    <row r="610" spans="1:3">
      <c r="A610" t="str">
        <f>"CN2400"</f>
        <v>CN2400</v>
      </c>
      <c r="B610" t="s">
        <v>3</v>
      </c>
      <c r="C610">
        <v>102</v>
      </c>
    </row>
    <row r="611" spans="1:3">
      <c r="A611" t="str">
        <f>"CN2401"</f>
        <v>CN2401</v>
      </c>
      <c r="B611" t="s">
        <v>3</v>
      </c>
      <c r="C611">
        <v>102</v>
      </c>
    </row>
    <row r="612" spans="1:3">
      <c r="A612" t="str">
        <f>"CN2402"</f>
        <v>CN2402</v>
      </c>
      <c r="B612" t="s">
        <v>3</v>
      </c>
      <c r="C612">
        <v>102</v>
      </c>
    </row>
    <row r="613" spans="1:3">
      <c r="A613" t="str">
        <f>"CN2403"</f>
        <v>CN2403</v>
      </c>
      <c r="B613" t="s">
        <v>3</v>
      </c>
      <c r="C613">
        <v>102</v>
      </c>
    </row>
    <row r="614" spans="1:3">
      <c r="A614" t="str">
        <f>"CN2404"</f>
        <v>CN2404</v>
      </c>
      <c r="B614" t="s">
        <v>3</v>
      </c>
      <c r="C614">
        <v>102</v>
      </c>
    </row>
    <row r="615" spans="1:3">
      <c r="A615" t="str">
        <f>"CN2405"</f>
        <v>CN2405</v>
      </c>
      <c r="B615" t="s">
        <v>3</v>
      </c>
      <c r="C615">
        <v>102</v>
      </c>
    </row>
    <row r="616" spans="1:3">
      <c r="A616" t="str">
        <f>"CN2406"</f>
        <v>CN2406</v>
      </c>
      <c r="B616" t="s">
        <v>3</v>
      </c>
      <c r="C616">
        <v>102</v>
      </c>
    </row>
    <row r="617" spans="1:3">
      <c r="A617" t="str">
        <f>"CN2407"</f>
        <v>CN2407</v>
      </c>
      <c r="B617" t="s">
        <v>3</v>
      </c>
      <c r="C617">
        <v>102</v>
      </c>
    </row>
    <row r="618" spans="1:3">
      <c r="A618" t="str">
        <f>"CN2408"</f>
        <v>CN2408</v>
      </c>
      <c r="B618" t="s">
        <v>3</v>
      </c>
      <c r="C618">
        <v>102</v>
      </c>
    </row>
    <row r="619" spans="1:3">
      <c r="A619" t="str">
        <f>"CN2409"</f>
        <v>CN2409</v>
      </c>
      <c r="B619" t="s">
        <v>3</v>
      </c>
      <c r="C619">
        <v>102</v>
      </c>
    </row>
    <row r="620" spans="1:3">
      <c r="A620" t="str">
        <f>"CN2410"</f>
        <v>CN2410</v>
      </c>
      <c r="B620" t="s">
        <v>3</v>
      </c>
      <c r="C620">
        <v>102</v>
      </c>
    </row>
    <row r="621" spans="1:3">
      <c r="A621" t="str">
        <f>"CN2411"</f>
        <v>CN2411</v>
      </c>
      <c r="B621" t="s">
        <v>3</v>
      </c>
      <c r="C621">
        <v>102</v>
      </c>
    </row>
    <row r="622" spans="1:3">
      <c r="A622" t="str">
        <f>"CN2412"</f>
        <v>CN2412</v>
      </c>
      <c r="B622" t="s">
        <v>3</v>
      </c>
      <c r="C622">
        <v>102</v>
      </c>
    </row>
    <row r="623" spans="1:3">
      <c r="A623" t="str">
        <f>"CN2415"</f>
        <v>CN2415</v>
      </c>
      <c r="B623" t="s">
        <v>3</v>
      </c>
      <c r="C623">
        <v>102</v>
      </c>
    </row>
    <row r="624" spans="1:3">
      <c r="A624" t="str">
        <f>"CN2416"</f>
        <v>CN2416</v>
      </c>
      <c r="B624" t="s">
        <v>3</v>
      </c>
      <c r="C624">
        <v>102</v>
      </c>
    </row>
    <row r="625" spans="1:3">
      <c r="A625" t="str">
        <f>"CN2417"</f>
        <v>CN2417</v>
      </c>
      <c r="B625" t="s">
        <v>3</v>
      </c>
      <c r="C625">
        <v>102</v>
      </c>
    </row>
    <row r="626" spans="1:3">
      <c r="A626" t="str">
        <f>"CN2418"</f>
        <v>CN2418</v>
      </c>
      <c r="B626" t="s">
        <v>3</v>
      </c>
      <c r="C626">
        <v>102</v>
      </c>
    </row>
    <row r="627" spans="1:3">
      <c r="A627" t="str">
        <f>"CN2419"</f>
        <v>CN2419</v>
      </c>
      <c r="B627" t="s">
        <v>3</v>
      </c>
      <c r="C627">
        <v>102</v>
      </c>
    </row>
    <row r="628" spans="1:3">
      <c r="A628" t="str">
        <f>"CN2420"</f>
        <v>CN2420</v>
      </c>
      <c r="B628" t="s">
        <v>3</v>
      </c>
      <c r="C628">
        <v>102</v>
      </c>
    </row>
    <row r="629" spans="1:3">
      <c r="A629" t="str">
        <f>"CN2422"</f>
        <v>CN2422</v>
      </c>
      <c r="B629" t="s">
        <v>3</v>
      </c>
      <c r="C629">
        <v>102</v>
      </c>
    </row>
    <row r="630" spans="1:3">
      <c r="A630" t="str">
        <f>"CN2423"</f>
        <v>CN2423</v>
      </c>
      <c r="B630" t="s">
        <v>3</v>
      </c>
      <c r="C630">
        <v>102</v>
      </c>
    </row>
    <row r="631" spans="1:3">
      <c r="A631" t="str">
        <f>"CN2428"</f>
        <v>CN2428</v>
      </c>
      <c r="B631" t="s">
        <v>3</v>
      </c>
      <c r="C631">
        <v>102</v>
      </c>
    </row>
    <row r="632" spans="1:3">
      <c r="A632" t="str">
        <f>"CN2429"</f>
        <v>CN2429</v>
      </c>
      <c r="B632" t="s">
        <v>3</v>
      </c>
      <c r="C632">
        <v>102</v>
      </c>
    </row>
    <row r="633" spans="1:3">
      <c r="A633" t="str">
        <f>"CN2431"</f>
        <v>CN2431</v>
      </c>
      <c r="B633" t="s">
        <v>3</v>
      </c>
      <c r="C633">
        <v>102</v>
      </c>
    </row>
    <row r="634" spans="1:3">
      <c r="A634" t="str">
        <f>"CN2432"</f>
        <v>CN2432</v>
      </c>
      <c r="B634" t="s">
        <v>3</v>
      </c>
      <c r="C634">
        <v>102</v>
      </c>
    </row>
    <row r="635" spans="1:3">
      <c r="A635" t="str">
        <f>"CN2433"</f>
        <v>CN2433</v>
      </c>
      <c r="B635" t="s">
        <v>3</v>
      </c>
      <c r="C635">
        <v>102</v>
      </c>
    </row>
    <row r="636" spans="1:3">
      <c r="A636" t="str">
        <f>"CN2434"</f>
        <v>CN2434</v>
      </c>
      <c r="B636" t="s">
        <v>3</v>
      </c>
      <c r="C636">
        <v>102</v>
      </c>
    </row>
    <row r="637" spans="1:3">
      <c r="A637" t="str">
        <f>"CN2435"</f>
        <v>CN2435</v>
      </c>
      <c r="B637" t="s">
        <v>3</v>
      </c>
      <c r="C637">
        <v>102</v>
      </c>
    </row>
    <row r="638" spans="1:3">
      <c r="A638" t="str">
        <f>"CN2436"</f>
        <v>CN2436</v>
      </c>
      <c r="B638" t="s">
        <v>3</v>
      </c>
      <c r="C638">
        <v>102</v>
      </c>
    </row>
    <row r="639" spans="1:3">
      <c r="A639" t="str">
        <f>"CN2437"</f>
        <v>CN2437</v>
      </c>
      <c r="B639" t="s">
        <v>3</v>
      </c>
      <c r="C639">
        <v>102</v>
      </c>
    </row>
    <row r="640" spans="1:3">
      <c r="A640" t="str">
        <f>"CN2438"</f>
        <v>CN2438</v>
      </c>
      <c r="B640" t="s">
        <v>3</v>
      </c>
      <c r="C640">
        <v>102</v>
      </c>
    </row>
    <row r="641" spans="1:3">
      <c r="A641" t="str">
        <f>"CN2440"</f>
        <v>CN2440</v>
      </c>
      <c r="B641" t="s">
        <v>3</v>
      </c>
      <c r="C641">
        <v>102</v>
      </c>
    </row>
    <row r="642" spans="1:3">
      <c r="A642" t="str">
        <f>"CN2441"</f>
        <v>CN2441</v>
      </c>
      <c r="B642" t="s">
        <v>3</v>
      </c>
      <c r="C642">
        <v>102</v>
      </c>
    </row>
    <row r="643" spans="1:3">
      <c r="A643" t="str">
        <f>"CN2550"</f>
        <v>CN2550</v>
      </c>
      <c r="B643" t="s">
        <v>3</v>
      </c>
      <c r="C643">
        <v>102</v>
      </c>
    </row>
    <row r="644" spans="1:3">
      <c r="A644" t="str">
        <f>"CN2551"</f>
        <v>CN2551</v>
      </c>
      <c r="B644" t="s">
        <v>3</v>
      </c>
      <c r="C644">
        <v>102</v>
      </c>
    </row>
    <row r="645" spans="1:3">
      <c r="A645" t="str">
        <f>"CN2552"</f>
        <v>CN2552</v>
      </c>
      <c r="B645" t="s">
        <v>3</v>
      </c>
      <c r="C645">
        <v>102</v>
      </c>
    </row>
    <row r="646" spans="1:3">
      <c r="A646" t="str">
        <f>"CN2553"</f>
        <v>CN2553</v>
      </c>
      <c r="B646" t="s">
        <v>3</v>
      </c>
      <c r="C646">
        <v>102</v>
      </c>
    </row>
    <row r="647" spans="1:3">
      <c r="A647" t="str">
        <f>"CN2554"</f>
        <v>CN2554</v>
      </c>
      <c r="B647" t="s">
        <v>3</v>
      </c>
      <c r="C647">
        <v>102</v>
      </c>
    </row>
    <row r="648" spans="1:3">
      <c r="A648" t="str">
        <f>"CN2555"</f>
        <v>CN2555</v>
      </c>
      <c r="B648" t="s">
        <v>3</v>
      </c>
      <c r="C648">
        <v>102</v>
      </c>
    </row>
    <row r="649" spans="1:3">
      <c r="A649" t="str">
        <f>"CN2556"</f>
        <v>CN2556</v>
      </c>
      <c r="B649" t="s">
        <v>3</v>
      </c>
      <c r="C649">
        <v>102</v>
      </c>
    </row>
    <row r="650" spans="1:3">
      <c r="A650" t="str">
        <f>"CN2557"</f>
        <v>CN2557</v>
      </c>
      <c r="B650" t="s">
        <v>3</v>
      </c>
      <c r="C650">
        <v>102</v>
      </c>
    </row>
    <row r="651" spans="1:3">
      <c r="A651" t="str">
        <f>"CN2602"</f>
        <v>CN2602</v>
      </c>
      <c r="B651" t="s">
        <v>3</v>
      </c>
      <c r="C651">
        <v>102</v>
      </c>
    </row>
    <row r="652" spans="1:3">
      <c r="A652" t="str">
        <f>"CN2604"</f>
        <v>CN2604</v>
      </c>
      <c r="B652" t="s">
        <v>3</v>
      </c>
      <c r="C652">
        <v>102</v>
      </c>
    </row>
    <row r="653" spans="1:3">
      <c r="A653" t="str">
        <f>"CN2608"</f>
        <v>CN2608</v>
      </c>
      <c r="B653" t="s">
        <v>3</v>
      </c>
      <c r="C653">
        <v>102</v>
      </c>
    </row>
    <row r="654" spans="1:3">
      <c r="A654" t="str">
        <f>"CN2610"</f>
        <v>CN2610</v>
      </c>
      <c r="B654" t="s">
        <v>3</v>
      </c>
      <c r="C654">
        <v>102</v>
      </c>
    </row>
    <row r="655" spans="1:3">
      <c r="A655" t="str">
        <f>"CN2613"</f>
        <v>CN2613</v>
      </c>
      <c r="B655" t="s">
        <v>3</v>
      </c>
      <c r="C655">
        <v>102</v>
      </c>
    </row>
    <row r="656" spans="1:3">
      <c r="A656" t="str">
        <f>"CN2614"</f>
        <v>CN2614</v>
      </c>
      <c r="B656" t="s">
        <v>3</v>
      </c>
      <c r="C656">
        <v>102</v>
      </c>
    </row>
    <row r="657" spans="1:3">
      <c r="A657" t="str">
        <f>"CN2615"</f>
        <v>CN2615</v>
      </c>
      <c r="B657" t="s">
        <v>3</v>
      </c>
      <c r="C657">
        <v>102</v>
      </c>
    </row>
    <row r="658" spans="1:3">
      <c r="A658" t="str">
        <f>"CN2616"</f>
        <v>CN2616</v>
      </c>
      <c r="B658" t="s">
        <v>3</v>
      </c>
      <c r="C658">
        <v>102</v>
      </c>
    </row>
    <row r="659" spans="1:3">
      <c r="A659" t="str">
        <f>"CN2617"</f>
        <v>CN2617</v>
      </c>
      <c r="B659" t="s">
        <v>3</v>
      </c>
      <c r="C659">
        <v>102</v>
      </c>
    </row>
    <row r="660" spans="1:3">
      <c r="A660" t="str">
        <f>"CN2618"</f>
        <v>CN2618</v>
      </c>
      <c r="B660" t="s">
        <v>3</v>
      </c>
      <c r="C660">
        <v>102</v>
      </c>
    </row>
    <row r="661" spans="1:3">
      <c r="A661" t="str">
        <f>"CN2619"</f>
        <v>CN2619</v>
      </c>
      <c r="B661" t="s">
        <v>3</v>
      </c>
      <c r="C661">
        <v>102</v>
      </c>
    </row>
    <row r="662" spans="1:3">
      <c r="A662" t="str">
        <f>"CN2620"</f>
        <v>CN2620</v>
      </c>
      <c r="B662" t="s">
        <v>3</v>
      </c>
      <c r="C662">
        <v>102</v>
      </c>
    </row>
    <row r="663" spans="1:3">
      <c r="A663" t="str">
        <f>"CN2621"</f>
        <v>CN2621</v>
      </c>
      <c r="B663" t="s">
        <v>3</v>
      </c>
      <c r="C663">
        <v>102</v>
      </c>
    </row>
    <row r="664" spans="1:3">
      <c r="A664" t="str">
        <f>"CN2622"</f>
        <v>CN2622</v>
      </c>
      <c r="B664" t="s">
        <v>3</v>
      </c>
      <c r="C664">
        <v>102</v>
      </c>
    </row>
    <row r="665" spans="1:3">
      <c r="A665" t="str">
        <f>"CN2623"</f>
        <v>CN2623</v>
      </c>
      <c r="B665" t="s">
        <v>3</v>
      </c>
      <c r="C665">
        <v>102</v>
      </c>
    </row>
    <row r="666" spans="1:3">
      <c r="A666" t="str">
        <f>"CN2624"</f>
        <v>CN2624</v>
      </c>
      <c r="B666" t="s">
        <v>3</v>
      </c>
      <c r="C666">
        <v>102</v>
      </c>
    </row>
    <row r="667" spans="1:3">
      <c r="A667" t="str">
        <f>"CN2625"</f>
        <v>CN2625</v>
      </c>
      <c r="B667" t="s">
        <v>3</v>
      </c>
      <c r="C667">
        <v>102</v>
      </c>
    </row>
    <row r="668" spans="1:3">
      <c r="A668" t="str">
        <f>"CN2626"</f>
        <v>CN2626</v>
      </c>
      <c r="B668" t="s">
        <v>3</v>
      </c>
      <c r="C668">
        <v>102</v>
      </c>
    </row>
    <row r="669" spans="1:3">
      <c r="A669" t="str">
        <f>"CN2627"</f>
        <v>CN2627</v>
      </c>
      <c r="B669" t="s">
        <v>3</v>
      </c>
      <c r="C669">
        <v>102</v>
      </c>
    </row>
    <row r="670" spans="1:3">
      <c r="A670" t="str">
        <f>"CN2628"</f>
        <v>CN2628</v>
      </c>
      <c r="B670" t="s">
        <v>3</v>
      </c>
      <c r="C670">
        <v>102</v>
      </c>
    </row>
    <row r="671" spans="1:3">
      <c r="A671" t="str">
        <f>"CN2629"</f>
        <v>CN2629</v>
      </c>
      <c r="B671" t="s">
        <v>3</v>
      </c>
      <c r="C671">
        <v>102</v>
      </c>
    </row>
    <row r="672" spans="1:3">
      <c r="A672" t="str">
        <f>"CN2630"</f>
        <v>CN2630</v>
      </c>
      <c r="B672" t="s">
        <v>3</v>
      </c>
      <c r="C672">
        <v>102</v>
      </c>
    </row>
    <row r="673" spans="1:3">
      <c r="A673" t="str">
        <f>"CN2631"</f>
        <v>CN2631</v>
      </c>
      <c r="B673" t="s">
        <v>3</v>
      </c>
      <c r="C673">
        <v>102</v>
      </c>
    </row>
    <row r="674" spans="1:3">
      <c r="A674" t="str">
        <f>"CN2632"</f>
        <v>CN2632</v>
      </c>
      <c r="B674" t="s">
        <v>3</v>
      </c>
      <c r="C674">
        <v>102</v>
      </c>
    </row>
    <row r="675" spans="1:3">
      <c r="A675" t="str">
        <f>"CN2633"</f>
        <v>CN2633</v>
      </c>
      <c r="B675" t="s">
        <v>3</v>
      </c>
      <c r="C675">
        <v>102</v>
      </c>
    </row>
    <row r="676" spans="1:3">
      <c r="A676" t="str">
        <f>"CN2634"</f>
        <v>CN2634</v>
      </c>
      <c r="B676" t="s">
        <v>3</v>
      </c>
      <c r="C676">
        <v>102</v>
      </c>
    </row>
    <row r="677" spans="1:3">
      <c r="A677" t="str">
        <f>"CN2635"</f>
        <v>CN2635</v>
      </c>
      <c r="B677" t="s">
        <v>3</v>
      </c>
      <c r="C677">
        <v>102</v>
      </c>
    </row>
    <row r="678" spans="1:3">
      <c r="A678" t="str">
        <f>"CN2636"</f>
        <v>CN2636</v>
      </c>
      <c r="B678" t="s">
        <v>3</v>
      </c>
      <c r="C678">
        <v>102</v>
      </c>
    </row>
    <row r="679" spans="1:3">
      <c r="A679" t="str">
        <f>"CN2637"</f>
        <v>CN2637</v>
      </c>
      <c r="B679" t="s">
        <v>3</v>
      </c>
      <c r="C679">
        <v>102</v>
      </c>
    </row>
    <row r="680" spans="1:3">
      <c r="A680" t="str">
        <f>"CN2638"</f>
        <v>CN2638</v>
      </c>
      <c r="B680" t="s">
        <v>3</v>
      </c>
      <c r="C680">
        <v>102</v>
      </c>
    </row>
    <row r="681" spans="1:3">
      <c r="A681" t="str">
        <f>"CN2639"</f>
        <v>CN2639</v>
      </c>
      <c r="B681" t="s">
        <v>3</v>
      </c>
      <c r="C681">
        <v>102</v>
      </c>
    </row>
    <row r="682" spans="1:3">
      <c r="A682" t="str">
        <f>"CN2640"</f>
        <v>CN2640</v>
      </c>
      <c r="B682" t="s">
        <v>3</v>
      </c>
      <c r="C682">
        <v>102</v>
      </c>
    </row>
    <row r="683" spans="1:3">
      <c r="A683" t="str">
        <f>"CN2641"</f>
        <v>CN2641</v>
      </c>
      <c r="B683" t="s">
        <v>3</v>
      </c>
      <c r="C683">
        <v>102</v>
      </c>
    </row>
    <row r="684" spans="1:3">
      <c r="A684" t="str">
        <f>"CN2642"</f>
        <v>CN2642</v>
      </c>
      <c r="B684" t="s">
        <v>3</v>
      </c>
      <c r="C684">
        <v>102</v>
      </c>
    </row>
    <row r="685" spans="1:3">
      <c r="A685" t="str">
        <f>"CN2643"</f>
        <v>CN2643</v>
      </c>
      <c r="B685" t="s">
        <v>3</v>
      </c>
      <c r="C685">
        <v>102</v>
      </c>
    </row>
    <row r="686" spans="1:3">
      <c r="A686" t="str">
        <f>"CN2644"</f>
        <v>CN2644</v>
      </c>
      <c r="B686" t="s">
        <v>3</v>
      </c>
      <c r="C686">
        <v>102</v>
      </c>
    </row>
    <row r="687" spans="1:3">
      <c r="A687" t="str">
        <f>"CN2645"</f>
        <v>CN2645</v>
      </c>
      <c r="B687" t="s">
        <v>3</v>
      </c>
      <c r="C687">
        <v>102</v>
      </c>
    </row>
    <row r="688" spans="1:3">
      <c r="A688" t="str">
        <f>"CN2646"</f>
        <v>CN2646</v>
      </c>
      <c r="B688" t="s">
        <v>3</v>
      </c>
      <c r="C688">
        <v>102</v>
      </c>
    </row>
    <row r="689" spans="1:3">
      <c r="A689" t="str">
        <f>"CN2647"</f>
        <v>CN2647</v>
      </c>
      <c r="B689" t="s">
        <v>3</v>
      </c>
      <c r="C689">
        <v>102</v>
      </c>
    </row>
    <row r="690" spans="1:3">
      <c r="A690" t="str">
        <f>"CN2648"</f>
        <v>CN2648</v>
      </c>
      <c r="B690" t="s">
        <v>3</v>
      </c>
      <c r="C690">
        <v>102</v>
      </c>
    </row>
    <row r="691" spans="1:3">
      <c r="A691" t="str">
        <f>"CN2649"</f>
        <v>CN2649</v>
      </c>
      <c r="B691" t="s">
        <v>3</v>
      </c>
      <c r="C691">
        <v>102</v>
      </c>
    </row>
    <row r="692" spans="1:3">
      <c r="A692" t="str">
        <f>"CN2650"</f>
        <v>CN2650</v>
      </c>
      <c r="B692" t="s">
        <v>3</v>
      </c>
      <c r="C692">
        <v>102</v>
      </c>
    </row>
    <row r="693" spans="1:3">
      <c r="A693" t="str">
        <f>"CN2651"</f>
        <v>CN2651</v>
      </c>
      <c r="B693" t="s">
        <v>3</v>
      </c>
      <c r="C693">
        <v>102</v>
      </c>
    </row>
    <row r="694" spans="1:3">
      <c r="A694" t="str">
        <f>"CN2652"</f>
        <v>CN2652</v>
      </c>
      <c r="B694" t="s">
        <v>3</v>
      </c>
      <c r="C694">
        <v>102</v>
      </c>
    </row>
    <row r="695" spans="1:3">
      <c r="A695" t="str">
        <f>"CN2653"</f>
        <v>CN2653</v>
      </c>
      <c r="B695" t="s">
        <v>3</v>
      </c>
      <c r="C695">
        <v>102</v>
      </c>
    </row>
    <row r="696" spans="1:3">
      <c r="A696" t="str">
        <f>"CN2654"</f>
        <v>CN2654</v>
      </c>
      <c r="B696" t="s">
        <v>3</v>
      </c>
      <c r="C696">
        <v>102</v>
      </c>
    </row>
    <row r="697" spans="1:3">
      <c r="A697" t="str">
        <f>"CN2655"</f>
        <v>CN2655</v>
      </c>
      <c r="B697" t="s">
        <v>3</v>
      </c>
      <c r="C697">
        <v>102</v>
      </c>
    </row>
    <row r="698" spans="1:3">
      <c r="A698" t="str">
        <f>"CN2656"</f>
        <v>CN2656</v>
      </c>
      <c r="B698" t="s">
        <v>3</v>
      </c>
      <c r="C698">
        <v>102</v>
      </c>
    </row>
    <row r="699" spans="1:3">
      <c r="A699" t="str">
        <f>"CN2657"</f>
        <v>CN2657</v>
      </c>
      <c r="B699" t="s">
        <v>3</v>
      </c>
      <c r="C699">
        <v>102</v>
      </c>
    </row>
    <row r="700" spans="1:3">
      <c r="A700" t="str">
        <f>"CN2658"</f>
        <v>CN2658</v>
      </c>
      <c r="B700" t="s">
        <v>3</v>
      </c>
      <c r="C700">
        <v>102</v>
      </c>
    </row>
    <row r="701" spans="1:3">
      <c r="A701" t="str">
        <f>"CN2659"</f>
        <v>CN2659</v>
      </c>
      <c r="B701" t="s">
        <v>3</v>
      </c>
      <c r="C701">
        <v>102</v>
      </c>
    </row>
    <row r="702" spans="1:3">
      <c r="A702" t="str">
        <f>"CN2660"</f>
        <v>CN2660</v>
      </c>
      <c r="B702" t="s">
        <v>3</v>
      </c>
      <c r="C702">
        <v>102</v>
      </c>
    </row>
    <row r="703" spans="1:3">
      <c r="A703" t="str">
        <f>"CN2661"</f>
        <v>CN2661</v>
      </c>
      <c r="B703" t="s">
        <v>3</v>
      </c>
      <c r="C703">
        <v>102</v>
      </c>
    </row>
    <row r="704" spans="1:3">
      <c r="A704" t="str">
        <f>"CN2662"</f>
        <v>CN2662</v>
      </c>
      <c r="B704" t="s">
        <v>3</v>
      </c>
      <c r="C704">
        <v>102</v>
      </c>
    </row>
    <row r="705" spans="1:3">
      <c r="A705" t="str">
        <f>"CN2663"</f>
        <v>CN2663</v>
      </c>
      <c r="B705" t="s">
        <v>3</v>
      </c>
      <c r="C705">
        <v>102</v>
      </c>
    </row>
    <row r="706" spans="1:3">
      <c r="A706" t="str">
        <f>"CN2664"</f>
        <v>CN2664</v>
      </c>
      <c r="B706" t="s">
        <v>3</v>
      </c>
      <c r="C706">
        <v>102</v>
      </c>
    </row>
    <row r="707" spans="1:3">
      <c r="A707" t="str">
        <f>"CN2665"</f>
        <v>CN2665</v>
      </c>
      <c r="B707" t="s">
        <v>3</v>
      </c>
      <c r="C707">
        <v>102</v>
      </c>
    </row>
    <row r="708" spans="1:3">
      <c r="A708" t="str">
        <f>"CN2666"</f>
        <v>CN2666</v>
      </c>
      <c r="B708" t="s">
        <v>3</v>
      </c>
      <c r="C708">
        <v>102</v>
      </c>
    </row>
    <row r="709" spans="1:3">
      <c r="A709" t="str">
        <f>"CN2667"</f>
        <v>CN2667</v>
      </c>
      <c r="B709" t="s">
        <v>3</v>
      </c>
      <c r="C709">
        <v>102</v>
      </c>
    </row>
    <row r="710" spans="1:3">
      <c r="A710" t="str">
        <f>"CN2668"</f>
        <v>CN2668</v>
      </c>
      <c r="B710" t="s">
        <v>3</v>
      </c>
      <c r="C710">
        <v>102</v>
      </c>
    </row>
    <row r="711" spans="1:3">
      <c r="A711" t="str">
        <f>"CN2669"</f>
        <v>CN2669</v>
      </c>
      <c r="B711" t="s">
        <v>3</v>
      </c>
      <c r="C711">
        <v>102</v>
      </c>
    </row>
    <row r="712" spans="1:3">
      <c r="A712" t="str">
        <f>"CN2670"</f>
        <v>CN2670</v>
      </c>
      <c r="B712" t="s">
        <v>3</v>
      </c>
      <c r="C712">
        <v>102</v>
      </c>
    </row>
    <row r="713" spans="1:3">
      <c r="A713" t="str">
        <f>"CN2671"</f>
        <v>CN2671</v>
      </c>
      <c r="B713" t="s">
        <v>3</v>
      </c>
      <c r="C713">
        <v>102</v>
      </c>
    </row>
    <row r="714" spans="1:3">
      <c r="A714" t="str">
        <f>"CN2672"</f>
        <v>CN2672</v>
      </c>
      <c r="B714" t="s">
        <v>3</v>
      </c>
      <c r="C714">
        <v>102</v>
      </c>
    </row>
    <row r="715" spans="1:3">
      <c r="A715" t="str">
        <f>"CN2673"</f>
        <v>CN2673</v>
      </c>
      <c r="B715" t="s">
        <v>3</v>
      </c>
      <c r="C715">
        <v>102</v>
      </c>
    </row>
    <row r="716" spans="1:3">
      <c r="A716" t="str">
        <f>"CN2674"</f>
        <v>CN2674</v>
      </c>
      <c r="B716" t="s">
        <v>3</v>
      </c>
      <c r="C716">
        <v>102</v>
      </c>
    </row>
    <row r="717" spans="1:3">
      <c r="A717" t="str">
        <f>"CN2675"</f>
        <v>CN2675</v>
      </c>
      <c r="B717" t="s">
        <v>3</v>
      </c>
      <c r="C717">
        <v>102</v>
      </c>
    </row>
    <row r="718" spans="1:3">
      <c r="A718" t="str">
        <f>"CN2676"</f>
        <v>CN2676</v>
      </c>
      <c r="B718" t="s">
        <v>3</v>
      </c>
      <c r="C718">
        <v>102</v>
      </c>
    </row>
    <row r="719" spans="1:3">
      <c r="A719" t="str">
        <f>"CN2677"</f>
        <v>CN2677</v>
      </c>
      <c r="B719" t="s">
        <v>3</v>
      </c>
      <c r="C719">
        <v>102</v>
      </c>
    </row>
    <row r="720" spans="1:3">
      <c r="A720" t="str">
        <f>"CN2678"</f>
        <v>CN2678</v>
      </c>
      <c r="B720" t="s">
        <v>3</v>
      </c>
      <c r="C720">
        <v>102</v>
      </c>
    </row>
    <row r="721" spans="1:3">
      <c r="A721" t="str">
        <f>"CN2680"</f>
        <v>CN2680</v>
      </c>
      <c r="B721" t="s">
        <v>3</v>
      </c>
      <c r="C721">
        <v>102</v>
      </c>
    </row>
    <row r="722" spans="1:3">
      <c r="A722" t="str">
        <f>"CN2681"</f>
        <v>CN2681</v>
      </c>
      <c r="B722" t="s">
        <v>3</v>
      </c>
      <c r="C722">
        <v>102</v>
      </c>
    </row>
    <row r="723" spans="1:3">
      <c r="A723" t="str">
        <f>"CN2682"</f>
        <v>CN2682</v>
      </c>
      <c r="B723" t="s">
        <v>3</v>
      </c>
      <c r="C723">
        <v>102</v>
      </c>
    </row>
    <row r="724" spans="1:3">
      <c r="A724" t="str">
        <f>"CN2683"</f>
        <v>CN2683</v>
      </c>
      <c r="B724" t="s">
        <v>3</v>
      </c>
      <c r="C724">
        <v>102</v>
      </c>
    </row>
    <row r="725" spans="1:3">
      <c r="A725" t="str">
        <f>"CN2684"</f>
        <v>CN2684</v>
      </c>
      <c r="B725" t="s">
        <v>3</v>
      </c>
      <c r="C725">
        <v>102</v>
      </c>
    </row>
    <row r="726" spans="1:3">
      <c r="A726" t="str">
        <f>"CN2685"</f>
        <v>CN2685</v>
      </c>
      <c r="B726" t="s">
        <v>3</v>
      </c>
      <c r="C726">
        <v>102</v>
      </c>
    </row>
    <row r="727" spans="1:3">
      <c r="A727" t="str">
        <f>"CN2686"</f>
        <v>CN2686</v>
      </c>
      <c r="B727" t="s">
        <v>3</v>
      </c>
      <c r="C727">
        <v>102</v>
      </c>
    </row>
    <row r="728" spans="1:3">
      <c r="A728" t="str">
        <f>"CN2687"</f>
        <v>CN2687</v>
      </c>
      <c r="B728" t="s">
        <v>3</v>
      </c>
      <c r="C728">
        <v>102</v>
      </c>
    </row>
    <row r="729" spans="1:3">
      <c r="A729" t="str">
        <f>"CN2688"</f>
        <v>CN2688</v>
      </c>
      <c r="B729" t="s">
        <v>3</v>
      </c>
      <c r="C729">
        <v>102</v>
      </c>
    </row>
    <row r="730" spans="1:3">
      <c r="A730" t="str">
        <f>"CN2689"</f>
        <v>CN2689</v>
      </c>
      <c r="B730" t="s">
        <v>3</v>
      </c>
      <c r="C730">
        <v>102</v>
      </c>
    </row>
    <row r="731" spans="1:3">
      <c r="A731" t="str">
        <f>"CN2692"</f>
        <v>CN2692</v>
      </c>
      <c r="B731" t="s">
        <v>3</v>
      </c>
      <c r="C731">
        <v>102</v>
      </c>
    </row>
    <row r="732" spans="1:3">
      <c r="A732" t="str">
        <f>"CN2693"</f>
        <v>CN2693</v>
      </c>
      <c r="B732" t="s">
        <v>3</v>
      </c>
      <c r="C732">
        <v>102</v>
      </c>
    </row>
    <row r="733" spans="1:3">
      <c r="A733" t="str">
        <f>"CN2694"</f>
        <v>CN2694</v>
      </c>
      <c r="B733" t="s">
        <v>3</v>
      </c>
      <c r="C733">
        <v>102</v>
      </c>
    </row>
    <row r="734" spans="1:3">
      <c r="A734" t="str">
        <f>"CN2695"</f>
        <v>CN2695</v>
      </c>
      <c r="B734" t="s">
        <v>3</v>
      </c>
      <c r="C734">
        <v>102</v>
      </c>
    </row>
    <row r="735" spans="1:3">
      <c r="A735" t="str">
        <f>"CN2696"</f>
        <v>CN2696</v>
      </c>
      <c r="B735" t="s">
        <v>3</v>
      </c>
      <c r="C735">
        <v>102</v>
      </c>
    </row>
    <row r="736" spans="1:3">
      <c r="A736" t="str">
        <f>"CN2697"</f>
        <v>CN2697</v>
      </c>
      <c r="B736" t="s">
        <v>3</v>
      </c>
      <c r="C736">
        <v>102</v>
      </c>
    </row>
    <row r="737" spans="1:3">
      <c r="A737" t="str">
        <f>"CN2698"</f>
        <v>CN2698</v>
      </c>
      <c r="B737" t="s">
        <v>3</v>
      </c>
      <c r="C737">
        <v>102</v>
      </c>
    </row>
    <row r="738" spans="1:3">
      <c r="A738" t="str">
        <f>"CN2699"</f>
        <v>CN2699</v>
      </c>
      <c r="B738" t="s">
        <v>3</v>
      </c>
      <c r="C738">
        <v>102</v>
      </c>
    </row>
    <row r="739" spans="1:3">
      <c r="A739" t="str">
        <f>"CN2750"</f>
        <v>CN2750</v>
      </c>
      <c r="B739" t="s">
        <v>3</v>
      </c>
      <c r="C739">
        <v>102</v>
      </c>
    </row>
    <row r="740" spans="1:3">
      <c r="A740" t="str">
        <f>"CN2850"</f>
        <v>CN2850</v>
      </c>
      <c r="B740" t="s">
        <v>3</v>
      </c>
      <c r="C740">
        <v>102</v>
      </c>
    </row>
    <row r="741" spans="1:3">
      <c r="A741" t="str">
        <f>"CN5074"</f>
        <v>CN5074</v>
      </c>
      <c r="B741" t="s">
        <v>3</v>
      </c>
      <c r="C741">
        <v>102</v>
      </c>
    </row>
    <row r="742" spans="1:3">
      <c r="A742" t="str">
        <f>"CN5075"</f>
        <v>CN5075</v>
      </c>
      <c r="B742" t="s">
        <v>3</v>
      </c>
      <c r="C742">
        <v>102</v>
      </c>
    </row>
    <row r="743" spans="1:3">
      <c r="A743" t="str">
        <f>"CN5079"</f>
        <v>CN5079</v>
      </c>
      <c r="B743" t="s">
        <v>3</v>
      </c>
      <c r="C743">
        <v>102</v>
      </c>
    </row>
    <row r="744" spans="1:3">
      <c r="A744" t="str">
        <f>"CN5082"</f>
        <v>CN5082</v>
      </c>
      <c r="B744" t="s">
        <v>3</v>
      </c>
      <c r="C744">
        <v>102</v>
      </c>
    </row>
    <row r="745" spans="1:3">
      <c r="A745" t="str">
        <f>"CN5084"</f>
        <v>CN5084</v>
      </c>
      <c r="B745" t="s">
        <v>3</v>
      </c>
      <c r="C745">
        <v>102</v>
      </c>
    </row>
    <row r="746" spans="1:3">
      <c r="A746" t="str">
        <f>"CN5085"</f>
        <v>CN5085</v>
      </c>
      <c r="B746" t="s">
        <v>3</v>
      </c>
      <c r="C746">
        <v>102</v>
      </c>
    </row>
    <row r="747" spans="1:3">
      <c r="A747" t="str">
        <f>"CN5086"</f>
        <v>CN5086</v>
      </c>
      <c r="B747" t="s">
        <v>3</v>
      </c>
      <c r="C747">
        <v>102</v>
      </c>
    </row>
    <row r="748" spans="1:3">
      <c r="A748" t="str">
        <f>"CN5090"</f>
        <v>CN5090</v>
      </c>
      <c r="B748" t="s">
        <v>3</v>
      </c>
      <c r="C748">
        <v>102</v>
      </c>
    </row>
    <row r="749" spans="1:3">
      <c r="A749" t="str">
        <f>"CN5093"</f>
        <v>CN5093</v>
      </c>
      <c r="B749" t="s">
        <v>3</v>
      </c>
      <c r="C749">
        <v>102</v>
      </c>
    </row>
    <row r="750" spans="1:3">
      <c r="A750" t="str">
        <f>"CN5094"</f>
        <v>CN5094</v>
      </c>
      <c r="B750" t="s">
        <v>3</v>
      </c>
      <c r="C750">
        <v>102</v>
      </c>
    </row>
    <row r="751" spans="1:3">
      <c r="A751" t="str">
        <f>"CN5097"</f>
        <v>CN5097</v>
      </c>
      <c r="B751" t="s">
        <v>3</v>
      </c>
      <c r="C751">
        <v>102</v>
      </c>
    </row>
    <row r="752" spans="1:3">
      <c r="A752" t="str">
        <f>"CN5100"</f>
        <v>CN5100</v>
      </c>
      <c r="B752" t="s">
        <v>3</v>
      </c>
      <c r="C752">
        <v>102</v>
      </c>
    </row>
    <row r="753" spans="1:3">
      <c r="A753" t="str">
        <f>"CN5101"</f>
        <v>CN5101</v>
      </c>
      <c r="B753" t="s">
        <v>3</v>
      </c>
      <c r="C753">
        <v>102</v>
      </c>
    </row>
    <row r="754" spans="1:3">
      <c r="A754" t="str">
        <f>"CN5105"</f>
        <v>CN5105</v>
      </c>
      <c r="B754" t="s">
        <v>3</v>
      </c>
      <c r="C754">
        <v>102</v>
      </c>
    </row>
    <row r="755" spans="1:3">
      <c r="A755" t="str">
        <f>"CN5106"</f>
        <v>CN5106</v>
      </c>
      <c r="B755" t="s">
        <v>3</v>
      </c>
      <c r="C755">
        <v>102</v>
      </c>
    </row>
    <row r="756" spans="1:3">
      <c r="A756" t="str">
        <f>"CN5111"</f>
        <v>CN5111</v>
      </c>
      <c r="B756" t="s">
        <v>3</v>
      </c>
      <c r="C756">
        <v>102</v>
      </c>
    </row>
    <row r="757" spans="1:3">
      <c r="A757" t="str">
        <f>"CN5122"</f>
        <v>CN5122</v>
      </c>
      <c r="B757" t="s">
        <v>3</v>
      </c>
      <c r="C757">
        <v>102</v>
      </c>
    </row>
    <row r="758" spans="1:3">
      <c r="A758" t="str">
        <f>"CN5123"</f>
        <v>CN5123</v>
      </c>
      <c r="B758" t="s">
        <v>3</v>
      </c>
      <c r="C758">
        <v>102</v>
      </c>
    </row>
    <row r="759" spans="1:3">
      <c r="A759" t="str">
        <f>"CN5124"</f>
        <v>CN5124</v>
      </c>
      <c r="B759" t="s">
        <v>3</v>
      </c>
      <c r="C759">
        <v>102</v>
      </c>
    </row>
    <row r="760" spans="1:3">
      <c r="A760" t="str">
        <f>"CN5125"</f>
        <v>CN5125</v>
      </c>
      <c r="B760" t="s">
        <v>3</v>
      </c>
      <c r="C760">
        <v>102</v>
      </c>
    </row>
    <row r="761" spans="1:3">
      <c r="A761" t="str">
        <f>"CN5126"</f>
        <v>CN5126</v>
      </c>
      <c r="B761" t="s">
        <v>3</v>
      </c>
      <c r="C761">
        <v>102</v>
      </c>
    </row>
    <row r="762" spans="1:3">
      <c r="A762" t="str">
        <f>"CN5127"</f>
        <v>CN5127</v>
      </c>
      <c r="B762" t="s">
        <v>3</v>
      </c>
      <c r="C762">
        <v>102</v>
      </c>
    </row>
    <row r="763" spans="1:3">
      <c r="A763" t="str">
        <f>"CN5128"</f>
        <v>CN5128</v>
      </c>
      <c r="B763" t="s">
        <v>3</v>
      </c>
      <c r="C763">
        <v>102</v>
      </c>
    </row>
    <row r="764" spans="1:3">
      <c r="A764" t="str">
        <f>"CN5129"</f>
        <v>CN5129</v>
      </c>
      <c r="B764" t="s">
        <v>3</v>
      </c>
      <c r="C764">
        <v>102</v>
      </c>
    </row>
    <row r="765" spans="1:3">
      <c r="A765" t="str">
        <f>"CN5130"</f>
        <v>CN5130</v>
      </c>
      <c r="B765" t="s">
        <v>3</v>
      </c>
      <c r="C765">
        <v>102</v>
      </c>
    </row>
    <row r="766" spans="1:3">
      <c r="A766" t="str">
        <f>"CN5131"</f>
        <v>CN5131</v>
      </c>
      <c r="B766" t="s">
        <v>3</v>
      </c>
      <c r="C766">
        <v>102</v>
      </c>
    </row>
    <row r="767" spans="1:3">
      <c r="A767" t="str">
        <f>"CN5138"</f>
        <v>CN5138</v>
      </c>
      <c r="B767" t="s">
        <v>3</v>
      </c>
      <c r="C767">
        <v>102</v>
      </c>
    </row>
    <row r="768" spans="1:3">
      <c r="A768" t="str">
        <f>"CN5139"</f>
        <v>CN5139</v>
      </c>
      <c r="B768" t="s">
        <v>3</v>
      </c>
      <c r="C768">
        <v>102</v>
      </c>
    </row>
    <row r="769" spans="1:3">
      <c r="A769" t="str">
        <f>"CN5140"</f>
        <v>CN5140</v>
      </c>
      <c r="B769" t="s">
        <v>3</v>
      </c>
      <c r="C769">
        <v>102</v>
      </c>
    </row>
    <row r="770" spans="1:3">
      <c r="A770" t="str">
        <f>"CN5141"</f>
        <v>CN5141</v>
      </c>
      <c r="B770" t="s">
        <v>3</v>
      </c>
      <c r="C770">
        <v>102</v>
      </c>
    </row>
    <row r="771" spans="1:3">
      <c r="A771" t="str">
        <f>"CN6001"</f>
        <v>CN6001</v>
      </c>
      <c r="B771" t="s">
        <v>3</v>
      </c>
      <c r="C771">
        <v>102</v>
      </c>
    </row>
    <row r="772" spans="1:3">
      <c r="A772" t="str">
        <f>"CN6002"</f>
        <v>CN6002</v>
      </c>
      <c r="B772" t="s">
        <v>3</v>
      </c>
      <c r="C772">
        <v>102</v>
      </c>
    </row>
    <row r="773" spans="1:3">
      <c r="A773" t="str">
        <f>"CN6003"</f>
        <v>CN6003</v>
      </c>
      <c r="B773" t="s">
        <v>3</v>
      </c>
      <c r="C773">
        <v>102</v>
      </c>
    </row>
    <row r="774" spans="1:3">
      <c r="A774" t="str">
        <f>"CN6005"</f>
        <v>CN6005</v>
      </c>
      <c r="B774" t="s">
        <v>3</v>
      </c>
      <c r="C774">
        <v>102</v>
      </c>
    </row>
    <row r="775" spans="1:3">
      <c r="A775" t="str">
        <f>"CN6009"</f>
        <v>CN6009</v>
      </c>
      <c r="B775" t="s">
        <v>3</v>
      </c>
      <c r="C775">
        <v>102</v>
      </c>
    </row>
    <row r="776" spans="1:3">
      <c r="A776" t="str">
        <f>"CN6010"</f>
        <v>CN6010</v>
      </c>
      <c r="B776" t="s">
        <v>3</v>
      </c>
      <c r="C776">
        <v>102</v>
      </c>
    </row>
    <row r="777" spans="1:3">
      <c r="A777" t="str">
        <f>"CN6012"</f>
        <v>CN6012</v>
      </c>
      <c r="B777" t="s">
        <v>3</v>
      </c>
      <c r="C777">
        <v>102</v>
      </c>
    </row>
    <row r="778" spans="1:3">
      <c r="A778" t="str">
        <f>"CN6013"</f>
        <v>CN6013</v>
      </c>
      <c r="B778" t="s">
        <v>3</v>
      </c>
      <c r="C778">
        <v>102</v>
      </c>
    </row>
    <row r="779" spans="1:3">
      <c r="A779" t="str">
        <f>"CN6015"</f>
        <v>CN6015</v>
      </c>
      <c r="B779" t="s">
        <v>3</v>
      </c>
      <c r="C779">
        <v>102</v>
      </c>
    </row>
    <row r="780" spans="1:3">
      <c r="A780" t="str">
        <f>"CN6021"</f>
        <v>CN6021</v>
      </c>
      <c r="B780" t="s">
        <v>3</v>
      </c>
      <c r="C780">
        <v>102</v>
      </c>
    </row>
    <row r="781" spans="1:3">
      <c r="A781" t="str">
        <f>"CN6022"</f>
        <v>CN6022</v>
      </c>
      <c r="B781" t="s">
        <v>3</v>
      </c>
      <c r="C781">
        <v>102</v>
      </c>
    </row>
    <row r="782" spans="1:3">
      <c r="A782" t="str">
        <f>"CN6024"</f>
        <v>CN6024</v>
      </c>
      <c r="B782" t="s">
        <v>3</v>
      </c>
      <c r="C782">
        <v>102</v>
      </c>
    </row>
    <row r="783" spans="1:3">
      <c r="A783" t="str">
        <f>"CN6025"</f>
        <v>CN6025</v>
      </c>
      <c r="B783" t="s">
        <v>3</v>
      </c>
      <c r="C783">
        <v>102</v>
      </c>
    </row>
    <row r="784" spans="1:3">
      <c r="A784" t="str">
        <f>"CN6026"</f>
        <v>CN6026</v>
      </c>
      <c r="B784" t="s">
        <v>3</v>
      </c>
      <c r="C784">
        <v>102</v>
      </c>
    </row>
    <row r="785" spans="1:3">
      <c r="A785" t="str">
        <f>"CN6028"</f>
        <v>CN6028</v>
      </c>
      <c r="B785" t="s">
        <v>3</v>
      </c>
      <c r="C785">
        <v>102</v>
      </c>
    </row>
    <row r="786" spans="1:3">
      <c r="A786" t="str">
        <f>"CN6029"</f>
        <v>CN6029</v>
      </c>
      <c r="B786" t="s">
        <v>3</v>
      </c>
      <c r="C786">
        <v>102</v>
      </c>
    </row>
    <row r="787" spans="1:3">
      <c r="A787" t="str">
        <f>"CN6030"</f>
        <v>CN6030</v>
      </c>
      <c r="B787" t="s">
        <v>3</v>
      </c>
      <c r="C787">
        <v>102</v>
      </c>
    </row>
    <row r="788" spans="1:3">
      <c r="A788" t="str">
        <f>"CN6031"</f>
        <v>CN6031</v>
      </c>
      <c r="B788" t="s">
        <v>3</v>
      </c>
      <c r="C788">
        <v>102</v>
      </c>
    </row>
    <row r="789" spans="1:3">
      <c r="A789" t="str">
        <f>"CN6032"</f>
        <v>CN6032</v>
      </c>
      <c r="B789" t="s">
        <v>3</v>
      </c>
      <c r="C789">
        <v>102</v>
      </c>
    </row>
    <row r="790" spans="1:3">
      <c r="A790" t="str">
        <f>"CN6033"</f>
        <v>CN6033</v>
      </c>
      <c r="B790" t="s">
        <v>3</v>
      </c>
      <c r="C790">
        <v>102</v>
      </c>
    </row>
    <row r="791" spans="1:3">
      <c r="A791" t="str">
        <f>"CN6034"</f>
        <v>CN6034</v>
      </c>
      <c r="B791" t="s">
        <v>3</v>
      </c>
      <c r="C791">
        <v>102</v>
      </c>
    </row>
    <row r="792" spans="1:3">
      <c r="A792" t="str">
        <f>"CN6036"</f>
        <v>CN6036</v>
      </c>
      <c r="B792" t="s">
        <v>3</v>
      </c>
      <c r="C792">
        <v>102</v>
      </c>
    </row>
    <row r="793" spans="1:3">
      <c r="A793" t="str">
        <f>"CN6037"</f>
        <v>CN6037</v>
      </c>
      <c r="B793" t="s">
        <v>3</v>
      </c>
      <c r="C793">
        <v>102</v>
      </c>
    </row>
    <row r="794" spans="1:3">
      <c r="A794" t="str">
        <f>"CN6039"</f>
        <v>CN6039</v>
      </c>
      <c r="B794" t="s">
        <v>3</v>
      </c>
      <c r="C794">
        <v>102</v>
      </c>
    </row>
    <row r="795" spans="1:3">
      <c r="A795" t="str">
        <f>"CN6041"</f>
        <v>CN6041</v>
      </c>
      <c r="B795" t="s">
        <v>3</v>
      </c>
      <c r="C795">
        <v>102</v>
      </c>
    </row>
    <row r="796" spans="1:3">
      <c r="A796" t="str">
        <f>"CN6042"</f>
        <v>CN6042</v>
      </c>
      <c r="B796" t="s">
        <v>3</v>
      </c>
      <c r="C796">
        <v>102</v>
      </c>
    </row>
    <row r="797" spans="1:3">
      <c r="A797" t="str">
        <f>"CN6043"</f>
        <v>CN6043</v>
      </c>
      <c r="B797" t="s">
        <v>3</v>
      </c>
      <c r="C797">
        <v>102</v>
      </c>
    </row>
    <row r="798" spans="1:3">
      <c r="A798" t="str">
        <f>"CN6044"</f>
        <v>CN6044</v>
      </c>
      <c r="B798" t="s">
        <v>3</v>
      </c>
      <c r="C798">
        <v>102</v>
      </c>
    </row>
    <row r="799" spans="1:3">
      <c r="A799" t="str">
        <f>"CN6045"</f>
        <v>CN6045</v>
      </c>
      <c r="B799" t="s">
        <v>3</v>
      </c>
      <c r="C799">
        <v>102</v>
      </c>
    </row>
    <row r="800" spans="1:3">
      <c r="A800" t="str">
        <f>"CN6046"</f>
        <v>CN6046</v>
      </c>
      <c r="B800" t="s">
        <v>3</v>
      </c>
      <c r="C800">
        <v>102</v>
      </c>
    </row>
    <row r="801" spans="1:3">
      <c r="A801" t="str">
        <f>"CN6047"</f>
        <v>CN6047</v>
      </c>
      <c r="B801" t="s">
        <v>3</v>
      </c>
      <c r="C801">
        <v>102</v>
      </c>
    </row>
    <row r="802" spans="1:3">
      <c r="A802" t="str">
        <f>"CN6048"</f>
        <v>CN6048</v>
      </c>
      <c r="B802" t="s">
        <v>3</v>
      </c>
      <c r="C802">
        <v>102</v>
      </c>
    </row>
    <row r="803" spans="1:3">
      <c r="A803" t="str">
        <f>"CN6049"</f>
        <v>CN6049</v>
      </c>
      <c r="B803" t="s">
        <v>3</v>
      </c>
      <c r="C803">
        <v>102</v>
      </c>
    </row>
    <row r="804" spans="1:3">
      <c r="A804" t="str">
        <f>"CN6050"</f>
        <v>CN6050</v>
      </c>
      <c r="B804" t="s">
        <v>3</v>
      </c>
      <c r="C804">
        <v>102</v>
      </c>
    </row>
    <row r="805" spans="1:3">
      <c r="A805" t="str">
        <f>"CN6051"</f>
        <v>CN6051</v>
      </c>
      <c r="B805" t="s">
        <v>3</v>
      </c>
      <c r="C805">
        <v>102</v>
      </c>
    </row>
    <row r="806" spans="1:3">
      <c r="A806" t="str">
        <f>"CN6052"</f>
        <v>CN6052</v>
      </c>
      <c r="B806" t="s">
        <v>3</v>
      </c>
      <c r="C806">
        <v>102</v>
      </c>
    </row>
    <row r="807" spans="1:3">
      <c r="A807" t="str">
        <f>"CN6053"</f>
        <v>CN6053</v>
      </c>
      <c r="B807" t="s">
        <v>3</v>
      </c>
      <c r="C807">
        <v>102</v>
      </c>
    </row>
    <row r="808" spans="1:3">
      <c r="A808" t="str">
        <f>"CN6054"</f>
        <v>CN6054</v>
      </c>
      <c r="B808" t="s">
        <v>3</v>
      </c>
      <c r="C808">
        <v>102</v>
      </c>
    </row>
    <row r="809" spans="1:3">
      <c r="A809" t="str">
        <f>"CN6055"</f>
        <v>CN6055</v>
      </c>
      <c r="B809" t="s">
        <v>3</v>
      </c>
      <c r="C809">
        <v>102</v>
      </c>
    </row>
    <row r="810" spans="1:3">
      <c r="A810" t="str">
        <f>"CN6056"</f>
        <v>CN6056</v>
      </c>
      <c r="B810" t="s">
        <v>3</v>
      </c>
      <c r="C810">
        <v>102</v>
      </c>
    </row>
    <row r="811" spans="1:3">
      <c r="A811" t="str">
        <f>"CN6057"</f>
        <v>CN6057</v>
      </c>
      <c r="B811" t="s">
        <v>3</v>
      </c>
      <c r="C811">
        <v>102</v>
      </c>
    </row>
    <row r="812" spans="1:3">
      <c r="A812" t="str">
        <f>"CN6058"</f>
        <v>CN6058</v>
      </c>
      <c r="B812" t="s">
        <v>3</v>
      </c>
      <c r="C812">
        <v>102</v>
      </c>
    </row>
    <row r="813" spans="1:3">
      <c r="A813" t="str">
        <f>"CN6059"</f>
        <v>CN6059</v>
      </c>
      <c r="B813" t="s">
        <v>3</v>
      </c>
      <c r="C813">
        <v>102</v>
      </c>
    </row>
    <row r="814" spans="1:3">
      <c r="A814" t="str">
        <f>"CN6060"</f>
        <v>CN6060</v>
      </c>
      <c r="B814" t="s">
        <v>3</v>
      </c>
      <c r="C814">
        <v>102</v>
      </c>
    </row>
    <row r="815" spans="1:3">
      <c r="A815" t="str">
        <f>"CN6074"</f>
        <v>CN6074</v>
      </c>
      <c r="B815" t="s">
        <v>3</v>
      </c>
      <c r="C815">
        <v>102</v>
      </c>
    </row>
    <row r="816" spans="1:3">
      <c r="A816" t="str">
        <f>"CN6075"</f>
        <v>CN6075</v>
      </c>
      <c r="B816" t="s">
        <v>3</v>
      </c>
      <c r="C816">
        <v>102</v>
      </c>
    </row>
    <row r="817" spans="1:3">
      <c r="A817" t="str">
        <f>"CN6079"</f>
        <v>CN6079</v>
      </c>
      <c r="B817" t="s">
        <v>3</v>
      </c>
      <c r="C817">
        <v>102</v>
      </c>
    </row>
    <row r="818" spans="1:3">
      <c r="A818" t="str">
        <f>"CN6082"</f>
        <v>CN6082</v>
      </c>
      <c r="B818" t="s">
        <v>3</v>
      </c>
      <c r="C818">
        <v>102</v>
      </c>
    </row>
    <row r="819" spans="1:3">
      <c r="A819" t="str">
        <f>"CN6084"</f>
        <v>CN6084</v>
      </c>
      <c r="B819" t="s">
        <v>3</v>
      </c>
      <c r="C819">
        <v>102</v>
      </c>
    </row>
    <row r="820" spans="1:3">
      <c r="A820" t="str">
        <f>"CN6085"</f>
        <v>CN6085</v>
      </c>
      <c r="B820" t="s">
        <v>3</v>
      </c>
      <c r="C820">
        <v>102</v>
      </c>
    </row>
    <row r="821" spans="1:3">
      <c r="A821" t="str">
        <f>"CN6086"</f>
        <v>CN6086</v>
      </c>
      <c r="B821" t="s">
        <v>3</v>
      </c>
      <c r="C821">
        <v>102</v>
      </c>
    </row>
    <row r="822" spans="1:3">
      <c r="A822" t="str">
        <f>"CN6090"</f>
        <v>CN6090</v>
      </c>
      <c r="B822" t="s">
        <v>3</v>
      </c>
      <c r="C822">
        <v>102</v>
      </c>
    </row>
    <row r="823" spans="1:3">
      <c r="A823" t="str">
        <f>"CN6093"</f>
        <v>CN6093</v>
      </c>
      <c r="B823" t="s">
        <v>3</v>
      </c>
      <c r="C823">
        <v>102</v>
      </c>
    </row>
    <row r="824" spans="1:3">
      <c r="A824" t="str">
        <f>"CN6094"</f>
        <v>CN6094</v>
      </c>
      <c r="B824" t="s">
        <v>3</v>
      </c>
      <c r="C824">
        <v>102</v>
      </c>
    </row>
    <row r="825" spans="1:3">
      <c r="A825" t="str">
        <f>"CN6097"</f>
        <v>CN6097</v>
      </c>
      <c r="B825" t="s">
        <v>3</v>
      </c>
      <c r="C825">
        <v>102</v>
      </c>
    </row>
    <row r="826" spans="1:3">
      <c r="A826" t="str">
        <f>"CN6100"</f>
        <v>CN6100</v>
      </c>
      <c r="B826" t="s">
        <v>3</v>
      </c>
      <c r="C826">
        <v>102</v>
      </c>
    </row>
    <row r="827" spans="1:3">
      <c r="A827" t="str">
        <f>"CN6101"</f>
        <v>CN6101</v>
      </c>
      <c r="B827" t="s">
        <v>3</v>
      </c>
      <c r="C827">
        <v>102</v>
      </c>
    </row>
    <row r="828" spans="1:3">
      <c r="A828" t="str">
        <f>"CN6105"</f>
        <v>CN6105</v>
      </c>
      <c r="B828" t="s">
        <v>3</v>
      </c>
      <c r="C828">
        <v>102</v>
      </c>
    </row>
    <row r="829" spans="1:3">
      <c r="A829" t="str">
        <f>"CN6106"</f>
        <v>CN6106</v>
      </c>
      <c r="B829" t="s">
        <v>3</v>
      </c>
      <c r="C829">
        <v>102</v>
      </c>
    </row>
    <row r="830" spans="1:3">
      <c r="A830" t="str">
        <f>"CN6111"</f>
        <v>CN6111</v>
      </c>
      <c r="B830" t="s">
        <v>3</v>
      </c>
      <c r="C830">
        <v>102</v>
      </c>
    </row>
    <row r="831" spans="1:3">
      <c r="A831" t="str">
        <f>"CN6122"</f>
        <v>CN6122</v>
      </c>
      <c r="B831" t="s">
        <v>3</v>
      </c>
      <c r="C831">
        <v>102</v>
      </c>
    </row>
    <row r="832" spans="1:3">
      <c r="A832" t="str">
        <f>"CN6123"</f>
        <v>CN6123</v>
      </c>
      <c r="B832" t="s">
        <v>3</v>
      </c>
      <c r="C832">
        <v>102</v>
      </c>
    </row>
    <row r="833" spans="1:3">
      <c r="A833" t="str">
        <f>"CN6124"</f>
        <v>CN6124</v>
      </c>
      <c r="B833" t="s">
        <v>3</v>
      </c>
      <c r="C833">
        <v>102</v>
      </c>
    </row>
    <row r="834" spans="1:3">
      <c r="A834" t="str">
        <f>"CN6125"</f>
        <v>CN6125</v>
      </c>
      <c r="B834" t="s">
        <v>3</v>
      </c>
      <c r="C834">
        <v>102</v>
      </c>
    </row>
    <row r="835" spans="1:3">
      <c r="A835" t="str">
        <f>"CN6126"</f>
        <v>CN6126</v>
      </c>
      <c r="B835" t="s">
        <v>3</v>
      </c>
      <c r="C835">
        <v>102</v>
      </c>
    </row>
    <row r="836" spans="1:3">
      <c r="A836" t="str">
        <f>"CN6127"</f>
        <v>CN6127</v>
      </c>
      <c r="B836" t="s">
        <v>3</v>
      </c>
      <c r="C836">
        <v>102</v>
      </c>
    </row>
    <row r="837" spans="1:3">
      <c r="A837" t="str">
        <f>"CN6128"</f>
        <v>CN6128</v>
      </c>
      <c r="B837" t="s">
        <v>3</v>
      </c>
      <c r="C837">
        <v>102</v>
      </c>
    </row>
    <row r="838" spans="1:3">
      <c r="A838" t="str">
        <f>"CN6129"</f>
        <v>CN6129</v>
      </c>
      <c r="B838" t="s">
        <v>3</v>
      </c>
      <c r="C838">
        <v>102</v>
      </c>
    </row>
    <row r="839" spans="1:3">
      <c r="A839" t="str">
        <f>"CN6130"</f>
        <v>CN6130</v>
      </c>
      <c r="B839" t="s">
        <v>3</v>
      </c>
      <c r="C839">
        <v>102</v>
      </c>
    </row>
    <row r="840" spans="1:3">
      <c r="A840" t="str">
        <f>"CN6131"</f>
        <v>CN6131</v>
      </c>
      <c r="B840" t="s">
        <v>3</v>
      </c>
      <c r="C840">
        <v>102</v>
      </c>
    </row>
    <row r="841" spans="1:3">
      <c r="A841" t="str">
        <f>"CN6138"</f>
        <v>CN6138</v>
      </c>
      <c r="B841" t="s">
        <v>3</v>
      </c>
      <c r="C841">
        <v>102</v>
      </c>
    </row>
    <row r="842" spans="1:3">
      <c r="A842" t="str">
        <f>"CN6139"</f>
        <v>CN6139</v>
      </c>
      <c r="B842" t="s">
        <v>3</v>
      </c>
      <c r="C842">
        <v>102</v>
      </c>
    </row>
    <row r="843" spans="1:3">
      <c r="A843" t="str">
        <f>"CN6140"</f>
        <v>CN6140</v>
      </c>
      <c r="B843" t="s">
        <v>3</v>
      </c>
      <c r="C843">
        <v>102</v>
      </c>
    </row>
    <row r="844" spans="1:3">
      <c r="A844" t="str">
        <f>"CN6141"</f>
        <v>CN6141</v>
      </c>
      <c r="B844" t="s">
        <v>3</v>
      </c>
      <c r="C844">
        <v>102</v>
      </c>
    </row>
    <row r="845" spans="1:3">
      <c r="A845" t="str">
        <f>"CNT"</f>
        <v>CNT</v>
      </c>
      <c r="B845" t="s">
        <v>3</v>
      </c>
      <c r="C845">
        <v>102</v>
      </c>
    </row>
    <row r="846" spans="1:3">
      <c r="A846" t="str">
        <f>"FACCNYG"</f>
        <v>FACCNYG</v>
      </c>
      <c r="B846" t="s">
        <v>3</v>
      </c>
      <c r="C846">
        <v>102</v>
      </c>
    </row>
    <row r="847" spans="1:3">
      <c r="A847" t="str">
        <f>"GBACNYG"</f>
        <v>GBACNYG</v>
      </c>
      <c r="B847" t="s">
        <v>3</v>
      </c>
      <c r="C847">
        <v>102</v>
      </c>
    </row>
    <row r="848" spans="1:3">
      <c r="A848" t="str">
        <f>"GTHHKDG"</f>
        <v>GTHHKDG</v>
      </c>
      <c r="B848" t="s">
        <v>3</v>
      </c>
      <c r="C848">
        <v>102</v>
      </c>
    </row>
    <row r="849" spans="1:3">
      <c r="A849" t="str">
        <f>"IBTCNYG"</f>
        <v>IBTCNYG</v>
      </c>
      <c r="B849" t="s">
        <v>3</v>
      </c>
      <c r="C849">
        <v>102</v>
      </c>
    </row>
    <row r="850" spans="1:3">
      <c r="A850" t="str">
        <f>"MOTHKDG"</f>
        <v>MOTHKDG</v>
      </c>
      <c r="B850" t="s">
        <v>3</v>
      </c>
      <c r="C850">
        <v>102</v>
      </c>
    </row>
    <row r="851" spans="1:3">
      <c r="A851" t="str">
        <f>"PELHKDG"</f>
        <v>PELHKDG</v>
      </c>
      <c r="B851" t="s">
        <v>3</v>
      </c>
      <c r="C851">
        <v>102</v>
      </c>
    </row>
    <row r="852" spans="1:3">
      <c r="A852" t="str">
        <f>"PSMHKDG"</f>
        <v>PSMHKDG</v>
      </c>
      <c r="B852" t="s">
        <v>3</v>
      </c>
      <c r="C852">
        <v>102</v>
      </c>
    </row>
    <row r="853" spans="1:3">
      <c r="A853" t="str">
        <f>"RETHKDG"</f>
        <v>RETHKDG</v>
      </c>
      <c r="B853" t="s">
        <v>3</v>
      </c>
      <c r="C853">
        <v>102</v>
      </c>
    </row>
    <row r="854" spans="1:3">
      <c r="A854" t="str">
        <f>"SZ100"</f>
        <v>SZ100</v>
      </c>
      <c r="B854" t="s">
        <v>3</v>
      </c>
      <c r="C854">
        <v>102</v>
      </c>
    </row>
    <row r="855" spans="1:3">
      <c r="A855" t="str">
        <f>"SZI"</f>
        <v>SZI</v>
      </c>
      <c r="B855" t="s">
        <v>3</v>
      </c>
      <c r="C855">
        <v>102</v>
      </c>
    </row>
    <row r="856" spans="1:3">
      <c r="A856" t="str">
        <f>"VALHKDG"</f>
        <v>VALHKDG</v>
      </c>
      <c r="B856" t="s">
        <v>3</v>
      </c>
      <c r="C856">
        <v>102</v>
      </c>
    </row>
    <row r="857" spans="1:3">
      <c r="A857" t="str">
        <f>"YLVHKDG"</f>
        <v>YLVHKDG</v>
      </c>
      <c r="B857" t="s">
        <v>3</v>
      </c>
      <c r="C857">
        <v>102</v>
      </c>
    </row>
  </sheetData>
  <sortState ref="A2:W85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国证指数20250822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2025-08-22T13:06:23Z</dcterms:created>
  <dcterms:modified xsi:type="dcterms:W3CDTF">2025-08-22T13:19:13Z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6D96A9527F644BD084DEE780E6160DBC_13</vt:lpwstr>
  </property>
  <property fmtid="{D5CDD505-2E9C-101B-9397-08002B2CF9AE}" pid="3" name="KSOProductBuildVer">
    <vt:lpwstr>2052-12.1.0.21915</vt:lpwstr>
  </property>
</Properties>
</file>