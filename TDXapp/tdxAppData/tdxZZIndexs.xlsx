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95"/>
  </bookViews>
  <sheets>
    <sheet name="中证指数202508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<sst xmlns="http://schemas.openxmlformats.org/spreadsheetml/2006/main" count="2161" uniqueCount="5">
  <si>
    <t>IndexCode</t>
  </si>
  <si>
    <t>Market</t>
  </si>
  <si>
    <t>MarketCode</t>
  </si>
  <si>
    <t>000001</t>
  </si>
  <si>
    <t>EX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</si>
</sst>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58"/>
  <sheetViews>
    <sheetView tabSelected="1" zoomScaleSheetLayoutView="60" workbookViewId="0">
      <selection activeCell="I20" sqref="I20"/>
    </sheetView>
  </sheetViews>
  <sheetFormatPr defaultColWidth="9" defaultRowHeight="13.5" outlineLevelCol="2"/>
  <cols>
    <col min="1" max="1" width="17.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t="s">
        <v>4</v>
      </c>
      <c r="C2">
        <v>62</v>
      </c>
    </row>
    <row r="3" spans="1:3">
      <c r="A3" t="str">
        <f>"000012"</f>
        <v>000012</v>
      </c>
      <c r="B3" t="s">
        <v>4</v>
      </c>
      <c r="C3">
        <v>62</v>
      </c>
    </row>
    <row r="4" spans="1:3">
      <c r="A4" t="str">
        <f>"000013"</f>
        <v>000013</v>
      </c>
      <c r="B4" t="s">
        <v>4</v>
      </c>
      <c r="C4">
        <v>62</v>
      </c>
    </row>
    <row r="5" spans="1:3">
      <c r="A5" t="str">
        <f>"000022"</f>
        <v>000022</v>
      </c>
      <c r="B5" t="s">
        <v>4</v>
      </c>
      <c r="C5">
        <v>62</v>
      </c>
    </row>
    <row r="6" spans="1:3">
      <c r="A6" t="str">
        <f>"000061"</f>
        <v>000061</v>
      </c>
      <c r="B6" t="s">
        <v>4</v>
      </c>
      <c r="C6">
        <v>62</v>
      </c>
    </row>
    <row r="7" spans="1:3">
      <c r="A7" t="str">
        <f>"000101"</f>
        <v>000101</v>
      </c>
      <c r="B7" t="s">
        <v>4</v>
      </c>
      <c r="C7">
        <v>62</v>
      </c>
    </row>
    <row r="8" spans="1:3">
      <c r="A8" t="str">
        <f>"000116"</f>
        <v>000116</v>
      </c>
      <c r="B8" t="s">
        <v>4</v>
      </c>
      <c r="C8">
        <v>62</v>
      </c>
    </row>
    <row r="9" spans="1:3">
      <c r="A9" t="str">
        <f>"000139"</f>
        <v>000139</v>
      </c>
      <c r="B9" t="s">
        <v>4</v>
      </c>
      <c r="C9">
        <v>62</v>
      </c>
    </row>
    <row r="10" spans="1:3">
      <c r="A10" t="str">
        <f>"000140"</f>
        <v>000140</v>
      </c>
      <c r="B10" t="s">
        <v>4</v>
      </c>
      <c r="C10">
        <v>62</v>
      </c>
    </row>
    <row r="11" spans="1:3">
      <c r="A11" t="str">
        <f>"000171"</f>
        <v>000171</v>
      </c>
      <c r="B11" t="s">
        <v>4</v>
      </c>
      <c r="C11">
        <v>62</v>
      </c>
    </row>
    <row r="12" spans="1:3">
      <c r="A12" t="str">
        <f>"000300"</f>
        <v>000300</v>
      </c>
      <c r="B12" t="s">
        <v>4</v>
      </c>
      <c r="C12">
        <v>62</v>
      </c>
    </row>
    <row r="13" spans="1:3">
      <c r="A13" t="str">
        <f>"000510"</f>
        <v>000510</v>
      </c>
      <c r="B13" t="s">
        <v>4</v>
      </c>
      <c r="C13">
        <v>62</v>
      </c>
    </row>
    <row r="14" spans="1:3">
      <c r="A14" t="str">
        <f>"000688CNY01"</f>
        <v>000688CNY01</v>
      </c>
      <c r="B14" t="s">
        <v>4</v>
      </c>
      <c r="C14">
        <v>62</v>
      </c>
    </row>
    <row r="15" spans="1:3">
      <c r="A15" t="str">
        <f>"000698CNY010"</f>
        <v>000698CNY010</v>
      </c>
      <c r="B15" t="s">
        <v>4</v>
      </c>
      <c r="C15">
        <v>62</v>
      </c>
    </row>
    <row r="16" spans="1:3">
      <c r="A16" t="str">
        <f>"000801"</f>
        <v>000801</v>
      </c>
      <c r="B16" t="s">
        <v>4</v>
      </c>
      <c r="C16">
        <v>62</v>
      </c>
    </row>
    <row r="17" spans="1:3">
      <c r="A17" t="str">
        <f>"000805"</f>
        <v>000805</v>
      </c>
      <c r="B17" t="s">
        <v>4</v>
      </c>
      <c r="C17">
        <v>62</v>
      </c>
    </row>
    <row r="18" spans="1:3">
      <c r="A18" t="str">
        <f>"000806"</f>
        <v>000806</v>
      </c>
      <c r="B18" t="s">
        <v>4</v>
      </c>
      <c r="C18">
        <v>62</v>
      </c>
    </row>
    <row r="19" spans="1:3">
      <c r="A19" t="str">
        <f>"000807"</f>
        <v>000807</v>
      </c>
      <c r="B19" t="s">
        <v>4</v>
      </c>
      <c r="C19">
        <v>62</v>
      </c>
    </row>
    <row r="20" spans="1:3">
      <c r="A20" t="str">
        <f>"000808"</f>
        <v>000808</v>
      </c>
      <c r="B20" t="s">
        <v>4</v>
      </c>
      <c r="C20">
        <v>62</v>
      </c>
    </row>
    <row r="21" spans="1:3">
      <c r="A21" t="str">
        <f>"000811"</f>
        <v>000811</v>
      </c>
      <c r="B21" t="s">
        <v>4</v>
      </c>
      <c r="C21">
        <v>62</v>
      </c>
    </row>
    <row r="22" spans="1:3">
      <c r="A22" t="str">
        <f>"000812"</f>
        <v>000812</v>
      </c>
      <c r="B22" t="s">
        <v>4</v>
      </c>
      <c r="C22">
        <v>62</v>
      </c>
    </row>
    <row r="23" spans="1:3">
      <c r="A23" t="str">
        <f>"000813"</f>
        <v>000813</v>
      </c>
      <c r="B23" t="s">
        <v>4</v>
      </c>
      <c r="C23">
        <v>62</v>
      </c>
    </row>
    <row r="24" spans="1:3">
      <c r="A24" t="str">
        <f>"000814"</f>
        <v>000814</v>
      </c>
      <c r="B24" t="s">
        <v>4</v>
      </c>
      <c r="C24">
        <v>62</v>
      </c>
    </row>
    <row r="25" spans="1:3">
      <c r="A25" t="str">
        <f>"000815"</f>
        <v>000815</v>
      </c>
      <c r="B25" t="s">
        <v>4</v>
      </c>
      <c r="C25">
        <v>62</v>
      </c>
    </row>
    <row r="26" spans="1:3">
      <c r="A26" t="str">
        <f>"000816"</f>
        <v>000816</v>
      </c>
      <c r="B26" t="s">
        <v>4</v>
      </c>
      <c r="C26">
        <v>62</v>
      </c>
    </row>
    <row r="27" spans="1:3">
      <c r="A27" t="str">
        <f>"000818"</f>
        <v>000818</v>
      </c>
      <c r="B27" t="s">
        <v>4</v>
      </c>
      <c r="C27">
        <v>62</v>
      </c>
    </row>
    <row r="28" spans="1:3">
      <c r="A28" t="str">
        <f>"000819"</f>
        <v>000819</v>
      </c>
      <c r="B28" t="s">
        <v>4</v>
      </c>
      <c r="C28">
        <v>62</v>
      </c>
    </row>
    <row r="29" spans="1:3">
      <c r="A29" t="str">
        <f>"000820"</f>
        <v>000820</v>
      </c>
      <c r="B29" t="s">
        <v>4</v>
      </c>
      <c r="C29">
        <v>62</v>
      </c>
    </row>
    <row r="30" spans="1:3">
      <c r="A30" t="str">
        <f>"000821"</f>
        <v>000821</v>
      </c>
      <c r="B30" t="s">
        <v>4</v>
      </c>
      <c r="C30">
        <v>62</v>
      </c>
    </row>
    <row r="31" spans="1:3">
      <c r="A31" t="str">
        <f>"000822"</f>
        <v>000822</v>
      </c>
      <c r="B31" t="s">
        <v>4</v>
      </c>
      <c r="C31">
        <v>62</v>
      </c>
    </row>
    <row r="32" spans="1:3">
      <c r="A32" t="str">
        <f>"000824"</f>
        <v>000824</v>
      </c>
      <c r="B32" t="s">
        <v>4</v>
      </c>
      <c r="C32">
        <v>62</v>
      </c>
    </row>
    <row r="33" spans="1:3">
      <c r="A33" t="str">
        <f>"000825"</f>
        <v>000825</v>
      </c>
      <c r="B33" t="s">
        <v>4</v>
      </c>
      <c r="C33">
        <v>62</v>
      </c>
    </row>
    <row r="34" spans="1:3">
      <c r="A34" t="str">
        <f>"000826"</f>
        <v>000826</v>
      </c>
      <c r="B34" t="s">
        <v>4</v>
      </c>
      <c r="C34">
        <v>62</v>
      </c>
    </row>
    <row r="35" spans="1:3">
      <c r="A35" t="str">
        <f>"000827"</f>
        <v>000827</v>
      </c>
      <c r="B35" t="s">
        <v>4</v>
      </c>
      <c r="C35">
        <v>62</v>
      </c>
    </row>
    <row r="36" spans="1:3">
      <c r="A36" t="str">
        <f>"000828"</f>
        <v>000828</v>
      </c>
      <c r="B36" t="s">
        <v>4</v>
      </c>
      <c r="C36">
        <v>62</v>
      </c>
    </row>
    <row r="37" spans="1:3">
      <c r="A37" t="str">
        <f>"000832"</f>
        <v>000832</v>
      </c>
      <c r="B37" t="s">
        <v>4</v>
      </c>
      <c r="C37">
        <v>62</v>
      </c>
    </row>
    <row r="38" spans="1:3">
      <c r="A38" t="str">
        <f>"000833"</f>
        <v>000833</v>
      </c>
      <c r="B38" t="s">
        <v>4</v>
      </c>
      <c r="C38">
        <v>62</v>
      </c>
    </row>
    <row r="39" spans="1:3">
      <c r="A39" t="str">
        <f>"000838"</f>
        <v>000838</v>
      </c>
      <c r="B39" t="s">
        <v>4</v>
      </c>
      <c r="C39">
        <v>62</v>
      </c>
    </row>
    <row r="40" spans="1:3">
      <c r="A40" t="str">
        <f>"000841"</f>
        <v>000841</v>
      </c>
      <c r="B40" t="s">
        <v>4</v>
      </c>
      <c r="C40">
        <v>62</v>
      </c>
    </row>
    <row r="41" spans="1:3">
      <c r="A41" t="str">
        <f>"000842"</f>
        <v>000842</v>
      </c>
      <c r="B41" t="s">
        <v>4</v>
      </c>
      <c r="C41">
        <v>62</v>
      </c>
    </row>
    <row r="42" spans="1:3">
      <c r="A42" t="str">
        <f>"000845"</f>
        <v>000845</v>
      </c>
      <c r="B42" t="s">
        <v>4</v>
      </c>
      <c r="C42">
        <v>62</v>
      </c>
    </row>
    <row r="43" spans="1:3">
      <c r="A43" t="str">
        <f>"000846"</f>
        <v>000846</v>
      </c>
      <c r="B43" t="s">
        <v>4</v>
      </c>
      <c r="C43">
        <v>62</v>
      </c>
    </row>
    <row r="44" spans="1:3">
      <c r="A44" t="str">
        <f>"000852"</f>
        <v>000852</v>
      </c>
      <c r="B44" t="s">
        <v>4</v>
      </c>
      <c r="C44">
        <v>62</v>
      </c>
    </row>
    <row r="45" spans="1:3">
      <c r="A45" t="str">
        <f>"000855"</f>
        <v>000855</v>
      </c>
      <c r="B45" t="s">
        <v>4</v>
      </c>
      <c r="C45">
        <v>62</v>
      </c>
    </row>
    <row r="46" spans="1:3">
      <c r="A46" t="str">
        <f>"000859"</f>
        <v>000859</v>
      </c>
      <c r="B46" t="s">
        <v>4</v>
      </c>
      <c r="C46">
        <v>62</v>
      </c>
    </row>
    <row r="47" spans="1:3">
      <c r="A47" t="str">
        <f>"000860"</f>
        <v>000860</v>
      </c>
      <c r="B47" t="s">
        <v>4</v>
      </c>
      <c r="C47">
        <v>62</v>
      </c>
    </row>
    <row r="48" spans="1:3">
      <c r="A48" t="str">
        <f>"000861"</f>
        <v>000861</v>
      </c>
      <c r="B48" t="s">
        <v>4</v>
      </c>
      <c r="C48">
        <v>62</v>
      </c>
    </row>
    <row r="49" spans="1:3">
      <c r="A49" t="str">
        <f>"000891"</f>
        <v>000891</v>
      </c>
      <c r="B49" t="s">
        <v>4</v>
      </c>
      <c r="C49">
        <v>62</v>
      </c>
    </row>
    <row r="50" spans="1:3">
      <c r="A50" t="str">
        <f>"000902"</f>
        <v>000902</v>
      </c>
      <c r="B50" t="s">
        <v>4</v>
      </c>
      <c r="C50">
        <v>62</v>
      </c>
    </row>
    <row r="51" spans="1:3">
      <c r="A51" t="str">
        <f>"000903"</f>
        <v>000903</v>
      </c>
      <c r="B51" t="s">
        <v>4</v>
      </c>
      <c r="C51">
        <v>62</v>
      </c>
    </row>
    <row r="52" spans="1:3">
      <c r="A52" t="str">
        <f>"000904"</f>
        <v>000904</v>
      </c>
      <c r="B52" t="s">
        <v>4</v>
      </c>
      <c r="C52">
        <v>62</v>
      </c>
    </row>
    <row r="53" spans="1:3">
      <c r="A53" t="str">
        <f>"000905"</f>
        <v>000905</v>
      </c>
      <c r="B53" t="s">
        <v>4</v>
      </c>
      <c r="C53">
        <v>62</v>
      </c>
    </row>
    <row r="54" spans="1:3">
      <c r="A54" t="str">
        <f>"000906"</f>
        <v>000906</v>
      </c>
      <c r="B54" t="s">
        <v>4</v>
      </c>
      <c r="C54">
        <v>62</v>
      </c>
    </row>
    <row r="55" spans="1:3">
      <c r="A55" t="str">
        <f>"000907"</f>
        <v>000907</v>
      </c>
      <c r="B55" t="s">
        <v>4</v>
      </c>
      <c r="C55">
        <v>62</v>
      </c>
    </row>
    <row r="56" spans="1:3">
      <c r="A56" t="str">
        <f>"000908"</f>
        <v>000908</v>
      </c>
      <c r="B56" t="s">
        <v>4</v>
      </c>
      <c r="C56">
        <v>62</v>
      </c>
    </row>
    <row r="57" spans="1:3">
      <c r="A57" t="str">
        <f>"000909"</f>
        <v>000909</v>
      </c>
      <c r="B57" t="s">
        <v>4</v>
      </c>
      <c r="C57">
        <v>62</v>
      </c>
    </row>
    <row r="58" spans="1:3">
      <c r="A58" t="str">
        <f>"000910"</f>
        <v>000910</v>
      </c>
      <c r="B58" t="s">
        <v>4</v>
      </c>
      <c r="C58">
        <v>62</v>
      </c>
    </row>
    <row r="59" spans="1:3">
      <c r="A59" t="str">
        <f>"000911"</f>
        <v>000911</v>
      </c>
      <c r="B59" t="s">
        <v>4</v>
      </c>
      <c r="C59">
        <v>62</v>
      </c>
    </row>
    <row r="60" spans="1:3">
      <c r="A60" t="str">
        <f>"000912"</f>
        <v>000912</v>
      </c>
      <c r="B60" t="s">
        <v>4</v>
      </c>
      <c r="C60">
        <v>62</v>
      </c>
    </row>
    <row r="61" spans="1:3">
      <c r="A61" t="str">
        <f>"000913"</f>
        <v>000913</v>
      </c>
      <c r="B61" t="s">
        <v>4</v>
      </c>
      <c r="C61">
        <v>62</v>
      </c>
    </row>
    <row r="62" spans="1:3">
      <c r="A62" t="str">
        <f>"000914"</f>
        <v>000914</v>
      </c>
      <c r="B62" t="s">
        <v>4</v>
      </c>
      <c r="C62">
        <v>62</v>
      </c>
    </row>
    <row r="63" spans="1:3">
      <c r="A63" t="str">
        <f>"000915"</f>
        <v>000915</v>
      </c>
      <c r="B63" t="s">
        <v>4</v>
      </c>
      <c r="C63">
        <v>62</v>
      </c>
    </row>
    <row r="64" spans="1:3">
      <c r="A64" t="str">
        <f>"000916"</f>
        <v>000916</v>
      </c>
      <c r="B64" t="s">
        <v>4</v>
      </c>
      <c r="C64">
        <v>62</v>
      </c>
    </row>
    <row r="65" spans="1:3">
      <c r="A65" t="str">
        <f>"000917"</f>
        <v>000917</v>
      </c>
      <c r="B65" t="s">
        <v>4</v>
      </c>
      <c r="C65">
        <v>62</v>
      </c>
    </row>
    <row r="66" spans="1:3">
      <c r="A66" t="str">
        <f>"000918"</f>
        <v>000918</v>
      </c>
      <c r="B66" t="s">
        <v>4</v>
      </c>
      <c r="C66">
        <v>62</v>
      </c>
    </row>
    <row r="67" spans="1:3">
      <c r="A67" t="str">
        <f>"000919"</f>
        <v>000919</v>
      </c>
      <c r="B67" t="s">
        <v>4</v>
      </c>
      <c r="C67">
        <v>62</v>
      </c>
    </row>
    <row r="68" spans="1:3">
      <c r="A68" t="str">
        <f>"000920"</f>
        <v>000920</v>
      </c>
      <c r="B68" t="s">
        <v>4</v>
      </c>
      <c r="C68">
        <v>62</v>
      </c>
    </row>
    <row r="69" spans="1:3">
      <c r="A69" t="str">
        <f>"000921"</f>
        <v>000921</v>
      </c>
      <c r="B69" t="s">
        <v>4</v>
      </c>
      <c r="C69">
        <v>62</v>
      </c>
    </row>
    <row r="70" spans="1:3">
      <c r="A70" t="str">
        <f>"000922"</f>
        <v>000922</v>
      </c>
      <c r="B70" t="s">
        <v>4</v>
      </c>
      <c r="C70">
        <v>62</v>
      </c>
    </row>
    <row r="71" spans="1:3">
      <c r="A71" t="str">
        <f>"000922CNY020"</f>
        <v>000922CNY020</v>
      </c>
      <c r="B71" t="s">
        <v>4</v>
      </c>
      <c r="C71">
        <v>62</v>
      </c>
    </row>
    <row r="72" spans="1:3">
      <c r="A72" t="str">
        <f>"000923"</f>
        <v>000923</v>
      </c>
      <c r="B72" t="s">
        <v>4</v>
      </c>
      <c r="C72">
        <v>62</v>
      </c>
    </row>
    <row r="73" spans="1:3">
      <c r="A73" t="str">
        <f>"000925"</f>
        <v>000925</v>
      </c>
      <c r="B73" t="s">
        <v>4</v>
      </c>
      <c r="C73">
        <v>62</v>
      </c>
    </row>
    <row r="74" spans="1:3">
      <c r="A74" t="str">
        <f>"000926"</f>
        <v>000926</v>
      </c>
      <c r="B74" t="s">
        <v>4</v>
      </c>
      <c r="C74">
        <v>62</v>
      </c>
    </row>
    <row r="75" spans="1:3">
      <c r="A75" t="str">
        <f>"000927"</f>
        <v>000927</v>
      </c>
      <c r="B75" t="s">
        <v>4</v>
      </c>
      <c r="C75">
        <v>62</v>
      </c>
    </row>
    <row r="76" spans="1:3">
      <c r="A76" t="str">
        <f>"000928"</f>
        <v>000928</v>
      </c>
      <c r="B76" t="s">
        <v>4</v>
      </c>
      <c r="C76">
        <v>62</v>
      </c>
    </row>
    <row r="77" spans="1:3">
      <c r="A77" t="str">
        <f>"000929"</f>
        <v>000929</v>
      </c>
      <c r="B77" t="s">
        <v>4</v>
      </c>
      <c r="C77">
        <v>62</v>
      </c>
    </row>
    <row r="78" spans="1:3">
      <c r="A78" t="str">
        <f>"000930"</f>
        <v>000930</v>
      </c>
      <c r="B78" t="s">
        <v>4</v>
      </c>
      <c r="C78">
        <v>62</v>
      </c>
    </row>
    <row r="79" spans="1:3">
      <c r="A79" t="str">
        <f>"000931"</f>
        <v>000931</v>
      </c>
      <c r="B79" t="s">
        <v>4</v>
      </c>
      <c r="C79">
        <v>62</v>
      </c>
    </row>
    <row r="80" spans="1:3">
      <c r="A80" t="str">
        <f>"000932"</f>
        <v>000932</v>
      </c>
      <c r="B80" t="s">
        <v>4</v>
      </c>
      <c r="C80">
        <v>62</v>
      </c>
    </row>
    <row r="81" spans="1:3">
      <c r="A81" t="str">
        <f>"000933"</f>
        <v>000933</v>
      </c>
      <c r="B81" t="s">
        <v>4</v>
      </c>
      <c r="C81">
        <v>62</v>
      </c>
    </row>
    <row r="82" spans="1:3">
      <c r="A82" t="str">
        <f>"000934"</f>
        <v>000934</v>
      </c>
      <c r="B82" t="s">
        <v>4</v>
      </c>
      <c r="C82">
        <v>62</v>
      </c>
    </row>
    <row r="83" spans="1:3">
      <c r="A83" t="str">
        <f>"000935"</f>
        <v>000935</v>
      </c>
      <c r="B83" t="s">
        <v>4</v>
      </c>
      <c r="C83">
        <v>62</v>
      </c>
    </row>
    <row r="84" spans="1:3">
      <c r="A84" t="str">
        <f>"000936"</f>
        <v>000936</v>
      </c>
      <c r="B84" t="s">
        <v>4</v>
      </c>
      <c r="C84">
        <v>62</v>
      </c>
    </row>
    <row r="85" spans="1:3">
      <c r="A85" t="str">
        <f>"000937"</f>
        <v>000937</v>
      </c>
      <c r="B85" t="s">
        <v>4</v>
      </c>
      <c r="C85">
        <v>62</v>
      </c>
    </row>
    <row r="86" spans="1:3">
      <c r="A86" t="str">
        <f>"000938"</f>
        <v>000938</v>
      </c>
      <c r="B86" t="s">
        <v>4</v>
      </c>
      <c r="C86">
        <v>62</v>
      </c>
    </row>
    <row r="87" spans="1:3">
      <c r="A87" t="str">
        <f>"000939"</f>
        <v>000939</v>
      </c>
      <c r="B87" t="s">
        <v>4</v>
      </c>
      <c r="C87">
        <v>62</v>
      </c>
    </row>
    <row r="88" spans="1:3">
      <c r="A88" t="str">
        <f>"000941"</f>
        <v>000941</v>
      </c>
      <c r="B88" t="s">
        <v>4</v>
      </c>
      <c r="C88">
        <v>62</v>
      </c>
    </row>
    <row r="89" spans="1:3">
      <c r="A89" t="str">
        <f>"000942"</f>
        <v>000942</v>
      </c>
      <c r="B89" t="s">
        <v>4</v>
      </c>
      <c r="C89">
        <v>62</v>
      </c>
    </row>
    <row r="90" spans="1:3">
      <c r="A90" t="str">
        <f>"000943"</f>
        <v>000943</v>
      </c>
      <c r="B90" t="s">
        <v>4</v>
      </c>
      <c r="C90">
        <v>62</v>
      </c>
    </row>
    <row r="91" spans="1:3">
      <c r="A91" t="str">
        <f>"000944"</f>
        <v>000944</v>
      </c>
      <c r="B91" t="s">
        <v>4</v>
      </c>
      <c r="C91">
        <v>62</v>
      </c>
    </row>
    <row r="92" spans="1:3">
      <c r="A92" t="str">
        <f>"000945"</f>
        <v>000945</v>
      </c>
      <c r="B92" t="s">
        <v>4</v>
      </c>
      <c r="C92">
        <v>62</v>
      </c>
    </row>
    <row r="93" spans="1:3">
      <c r="A93" t="str">
        <f>"000947"</f>
        <v>000947</v>
      </c>
      <c r="B93" t="s">
        <v>4</v>
      </c>
      <c r="C93">
        <v>62</v>
      </c>
    </row>
    <row r="94" spans="1:3">
      <c r="A94" t="str">
        <f>"000948"</f>
        <v>000948</v>
      </c>
      <c r="B94" t="s">
        <v>4</v>
      </c>
      <c r="C94">
        <v>62</v>
      </c>
    </row>
    <row r="95" spans="1:3">
      <c r="A95" t="str">
        <f>"000949"</f>
        <v>000949</v>
      </c>
      <c r="B95" t="s">
        <v>4</v>
      </c>
      <c r="C95">
        <v>62</v>
      </c>
    </row>
    <row r="96" spans="1:3">
      <c r="A96" t="str">
        <f>"000950"</f>
        <v>000950</v>
      </c>
      <c r="B96" t="s">
        <v>4</v>
      </c>
      <c r="C96">
        <v>62</v>
      </c>
    </row>
    <row r="97" spans="1:3">
      <c r="A97" t="str">
        <f>"000951"</f>
        <v>000951</v>
      </c>
      <c r="B97" t="s">
        <v>4</v>
      </c>
      <c r="C97">
        <v>62</v>
      </c>
    </row>
    <row r="98" spans="1:3">
      <c r="A98" t="str">
        <f>"000952"</f>
        <v>000952</v>
      </c>
      <c r="B98" t="s">
        <v>4</v>
      </c>
      <c r="C98">
        <v>62</v>
      </c>
    </row>
    <row r="99" spans="1:3">
      <c r="A99" t="str">
        <f>"000957"</f>
        <v>000957</v>
      </c>
      <c r="B99" t="s">
        <v>4</v>
      </c>
      <c r="C99">
        <v>62</v>
      </c>
    </row>
    <row r="100" spans="1:3">
      <c r="A100" t="str">
        <f>"000958"</f>
        <v>000958</v>
      </c>
      <c r="B100" t="s">
        <v>4</v>
      </c>
      <c r="C100">
        <v>62</v>
      </c>
    </row>
    <row r="101" spans="1:3">
      <c r="A101" t="str">
        <f>"000959"</f>
        <v>000959</v>
      </c>
      <c r="B101" t="s">
        <v>4</v>
      </c>
      <c r="C101">
        <v>62</v>
      </c>
    </row>
    <row r="102" spans="1:3">
      <c r="A102" t="str">
        <f>"000961"</f>
        <v>000961</v>
      </c>
      <c r="B102" t="s">
        <v>4</v>
      </c>
      <c r="C102">
        <v>62</v>
      </c>
    </row>
    <row r="103" spans="1:3">
      <c r="A103" t="str">
        <f>"000962"</f>
        <v>000962</v>
      </c>
      <c r="B103" t="s">
        <v>4</v>
      </c>
      <c r="C103">
        <v>62</v>
      </c>
    </row>
    <row r="104" spans="1:3">
      <c r="A104" t="str">
        <f>"000964"</f>
        <v>000964</v>
      </c>
      <c r="B104" t="s">
        <v>4</v>
      </c>
      <c r="C104">
        <v>62</v>
      </c>
    </row>
    <row r="105" spans="1:3">
      <c r="A105" t="str">
        <f>"000965"</f>
        <v>000965</v>
      </c>
      <c r="B105" t="s">
        <v>4</v>
      </c>
      <c r="C105">
        <v>62</v>
      </c>
    </row>
    <row r="106" spans="1:3">
      <c r="A106" t="str">
        <f>"000966"</f>
        <v>000966</v>
      </c>
      <c r="B106" t="s">
        <v>4</v>
      </c>
      <c r="C106">
        <v>62</v>
      </c>
    </row>
    <row r="107" spans="1:3">
      <c r="A107" t="str">
        <f>"000967"</f>
        <v>000967</v>
      </c>
      <c r="B107" t="s">
        <v>4</v>
      </c>
      <c r="C107">
        <v>62</v>
      </c>
    </row>
    <row r="108" spans="1:3">
      <c r="A108" t="str">
        <f>"000968"</f>
        <v>000968</v>
      </c>
      <c r="B108" t="s">
        <v>4</v>
      </c>
      <c r="C108">
        <v>62</v>
      </c>
    </row>
    <row r="109" spans="1:3">
      <c r="A109" t="str">
        <f>"000969"</f>
        <v>000969</v>
      </c>
      <c r="B109" t="s">
        <v>4</v>
      </c>
      <c r="C109">
        <v>62</v>
      </c>
    </row>
    <row r="110" spans="1:3">
      <c r="A110" t="str">
        <f>"000971"</f>
        <v>000971</v>
      </c>
      <c r="B110" t="s">
        <v>4</v>
      </c>
      <c r="C110">
        <v>62</v>
      </c>
    </row>
    <row r="111" spans="1:3">
      <c r="A111" t="str">
        <f>"000972"</f>
        <v>000972</v>
      </c>
      <c r="B111" t="s">
        <v>4</v>
      </c>
      <c r="C111">
        <v>62</v>
      </c>
    </row>
    <row r="112" spans="1:3">
      <c r="A112" t="str">
        <f>"000977"</f>
        <v>000977</v>
      </c>
      <c r="B112" t="s">
        <v>4</v>
      </c>
      <c r="C112">
        <v>62</v>
      </c>
    </row>
    <row r="113" spans="1:3">
      <c r="A113" t="str">
        <f>"000978"</f>
        <v>000978</v>
      </c>
      <c r="B113" t="s">
        <v>4</v>
      </c>
      <c r="C113">
        <v>62</v>
      </c>
    </row>
    <row r="114" spans="1:3">
      <c r="A114" t="str">
        <f>"000979"</f>
        <v>000979</v>
      </c>
      <c r="B114" t="s">
        <v>4</v>
      </c>
      <c r="C114">
        <v>62</v>
      </c>
    </row>
    <row r="115" spans="1:3">
      <c r="A115" t="str">
        <f>"000980"</f>
        <v>000980</v>
      </c>
      <c r="B115" t="s">
        <v>4</v>
      </c>
      <c r="C115">
        <v>62</v>
      </c>
    </row>
    <row r="116" spans="1:3">
      <c r="A116" t="str">
        <f>"000981"</f>
        <v>000981</v>
      </c>
      <c r="B116" t="s">
        <v>4</v>
      </c>
      <c r="C116">
        <v>62</v>
      </c>
    </row>
    <row r="117" spans="1:3">
      <c r="A117" t="str">
        <f>"000982"</f>
        <v>000982</v>
      </c>
      <c r="B117" t="s">
        <v>4</v>
      </c>
      <c r="C117">
        <v>62</v>
      </c>
    </row>
    <row r="118" spans="1:3">
      <c r="A118" t="str">
        <f>"000984"</f>
        <v>000984</v>
      </c>
      <c r="B118" t="s">
        <v>4</v>
      </c>
      <c r="C118">
        <v>62</v>
      </c>
    </row>
    <row r="119" spans="1:3">
      <c r="A119" t="str">
        <f>"000985"</f>
        <v>000985</v>
      </c>
      <c r="B119" t="s">
        <v>4</v>
      </c>
      <c r="C119">
        <v>62</v>
      </c>
    </row>
    <row r="120" spans="1:3">
      <c r="A120" t="str">
        <f>"000986"</f>
        <v>000986</v>
      </c>
      <c r="B120" t="s">
        <v>4</v>
      </c>
      <c r="C120">
        <v>62</v>
      </c>
    </row>
    <row r="121" spans="1:3">
      <c r="A121" t="str">
        <f>"000987"</f>
        <v>000987</v>
      </c>
      <c r="B121" t="s">
        <v>4</v>
      </c>
      <c r="C121">
        <v>62</v>
      </c>
    </row>
    <row r="122" spans="1:3">
      <c r="A122" t="str">
        <f>"000988"</f>
        <v>000988</v>
      </c>
      <c r="B122" t="s">
        <v>4</v>
      </c>
      <c r="C122">
        <v>62</v>
      </c>
    </row>
    <row r="123" spans="1:3">
      <c r="A123" t="str">
        <f>"000989"</f>
        <v>000989</v>
      </c>
      <c r="B123" t="s">
        <v>4</v>
      </c>
      <c r="C123">
        <v>62</v>
      </c>
    </row>
    <row r="124" spans="1:3">
      <c r="A124" t="str">
        <f>"000990"</f>
        <v>000990</v>
      </c>
      <c r="B124" t="s">
        <v>4</v>
      </c>
      <c r="C124">
        <v>62</v>
      </c>
    </row>
    <row r="125" spans="1:3">
      <c r="A125" t="str">
        <f>"000991"</f>
        <v>000991</v>
      </c>
      <c r="B125" t="s">
        <v>4</v>
      </c>
      <c r="C125">
        <v>62</v>
      </c>
    </row>
    <row r="126" spans="1:3">
      <c r="A126" t="str">
        <f>"000992"</f>
        <v>000992</v>
      </c>
      <c r="B126" t="s">
        <v>4</v>
      </c>
      <c r="C126">
        <v>62</v>
      </c>
    </row>
    <row r="127" spans="1:3">
      <c r="A127" t="str">
        <f>"000993"</f>
        <v>000993</v>
      </c>
      <c r="B127" t="s">
        <v>4</v>
      </c>
      <c r="C127">
        <v>62</v>
      </c>
    </row>
    <row r="128" spans="1:3">
      <c r="A128" t="str">
        <f>"000994"</f>
        <v>000994</v>
      </c>
      <c r="B128" t="s">
        <v>4</v>
      </c>
      <c r="C128">
        <v>62</v>
      </c>
    </row>
    <row r="129" spans="1:3">
      <c r="A129" t="str">
        <f>"000995"</f>
        <v>000995</v>
      </c>
      <c r="B129" t="s">
        <v>4</v>
      </c>
      <c r="C129">
        <v>62</v>
      </c>
    </row>
    <row r="130" spans="1:3">
      <c r="A130" t="str">
        <f>"000998"</f>
        <v>000998</v>
      </c>
      <c r="B130" t="s">
        <v>4</v>
      </c>
      <c r="C130">
        <v>62</v>
      </c>
    </row>
    <row r="131" spans="1:3">
      <c r="A131" t="str">
        <f>"133333"</f>
        <v>133333</v>
      </c>
      <c r="B131" t="s">
        <v>4</v>
      </c>
      <c r="C131">
        <v>62</v>
      </c>
    </row>
    <row r="132" spans="1:3">
      <c r="A132" t="str">
        <f>"399289"</f>
        <v>399289</v>
      </c>
      <c r="B132" t="s">
        <v>4</v>
      </c>
      <c r="C132">
        <v>62</v>
      </c>
    </row>
    <row r="133" spans="1:3">
      <c r="A133" t="str">
        <f>"399290"</f>
        <v>399290</v>
      </c>
      <c r="B133" t="s">
        <v>4</v>
      </c>
      <c r="C133">
        <v>62</v>
      </c>
    </row>
    <row r="134" spans="1:3">
      <c r="A134" t="str">
        <f>"399298"</f>
        <v>399298</v>
      </c>
      <c r="B134" t="s">
        <v>4</v>
      </c>
      <c r="C134">
        <v>62</v>
      </c>
    </row>
    <row r="135" spans="1:3">
      <c r="A135" t="str">
        <f>"399299"</f>
        <v>399299</v>
      </c>
      <c r="B135" t="s">
        <v>4</v>
      </c>
      <c r="C135">
        <v>62</v>
      </c>
    </row>
    <row r="136" spans="1:3">
      <c r="A136" t="str">
        <f>"399301"</f>
        <v>399301</v>
      </c>
      <c r="B136" t="s">
        <v>4</v>
      </c>
      <c r="C136">
        <v>62</v>
      </c>
    </row>
    <row r="137" spans="1:3">
      <c r="A137" t="str">
        <f>"399302"</f>
        <v>399302</v>
      </c>
      <c r="B137" t="s">
        <v>4</v>
      </c>
      <c r="C137">
        <v>62</v>
      </c>
    </row>
    <row r="138" spans="1:3">
      <c r="A138" t="str">
        <f>"399307"</f>
        <v>399307</v>
      </c>
      <c r="B138" t="s">
        <v>4</v>
      </c>
      <c r="C138">
        <v>62</v>
      </c>
    </row>
    <row r="139" spans="1:3">
      <c r="A139" t="str">
        <f>"399413"</f>
        <v>399413</v>
      </c>
      <c r="B139" t="s">
        <v>4</v>
      </c>
      <c r="C139">
        <v>62</v>
      </c>
    </row>
    <row r="140" spans="1:3">
      <c r="A140" t="str">
        <f>"399481"</f>
        <v>399481</v>
      </c>
      <c r="B140" t="s">
        <v>4</v>
      </c>
      <c r="C140">
        <v>62</v>
      </c>
    </row>
    <row r="141" spans="1:3">
      <c r="A141" t="str">
        <f>"399707"</f>
        <v>399707</v>
      </c>
      <c r="B141" t="s">
        <v>4</v>
      </c>
      <c r="C141">
        <v>62</v>
      </c>
    </row>
    <row r="142" spans="1:3">
      <c r="A142" t="str">
        <f>"399803"</f>
        <v>399803</v>
      </c>
      <c r="B142" t="s">
        <v>4</v>
      </c>
      <c r="C142">
        <v>62</v>
      </c>
    </row>
    <row r="143" spans="1:3">
      <c r="A143" t="str">
        <f>"399804"</f>
        <v>399804</v>
      </c>
      <c r="B143" t="s">
        <v>4</v>
      </c>
      <c r="C143">
        <v>62</v>
      </c>
    </row>
    <row r="144" spans="1:3">
      <c r="A144" t="str">
        <f>"399805"</f>
        <v>399805</v>
      </c>
      <c r="B144" t="s">
        <v>4</v>
      </c>
      <c r="C144">
        <v>62</v>
      </c>
    </row>
    <row r="145" spans="1:3">
      <c r="A145" t="str">
        <f>"399806"</f>
        <v>399806</v>
      </c>
      <c r="B145" t="s">
        <v>4</v>
      </c>
      <c r="C145">
        <v>62</v>
      </c>
    </row>
    <row r="146" spans="1:3">
      <c r="A146" t="str">
        <f>"399807"</f>
        <v>399807</v>
      </c>
      <c r="B146" t="s">
        <v>4</v>
      </c>
      <c r="C146">
        <v>62</v>
      </c>
    </row>
    <row r="147" spans="1:3">
      <c r="A147" t="str">
        <f>"399808"</f>
        <v>399808</v>
      </c>
      <c r="B147" t="s">
        <v>4</v>
      </c>
      <c r="C147">
        <v>62</v>
      </c>
    </row>
    <row r="148" spans="1:3">
      <c r="A148" t="str">
        <f>"399809"</f>
        <v>399809</v>
      </c>
      <c r="B148" t="s">
        <v>4</v>
      </c>
      <c r="C148">
        <v>62</v>
      </c>
    </row>
    <row r="149" spans="1:3">
      <c r="A149" t="str">
        <f>"399810"</f>
        <v>399810</v>
      </c>
      <c r="B149" t="s">
        <v>4</v>
      </c>
      <c r="C149">
        <v>62</v>
      </c>
    </row>
    <row r="150" spans="1:3">
      <c r="A150" t="str">
        <f>"399811"</f>
        <v>399811</v>
      </c>
      <c r="B150" t="s">
        <v>4</v>
      </c>
      <c r="C150">
        <v>62</v>
      </c>
    </row>
    <row r="151" spans="1:3">
      <c r="A151" t="str">
        <f>"399812"</f>
        <v>399812</v>
      </c>
      <c r="B151" t="s">
        <v>4</v>
      </c>
      <c r="C151">
        <v>62</v>
      </c>
    </row>
    <row r="152" spans="1:3">
      <c r="A152" t="str">
        <f>"399813"</f>
        <v>399813</v>
      </c>
      <c r="B152" t="s">
        <v>4</v>
      </c>
      <c r="C152">
        <v>62</v>
      </c>
    </row>
    <row r="153" spans="1:3">
      <c r="A153" t="str">
        <f>"399814"</f>
        <v>399814</v>
      </c>
      <c r="B153" t="s">
        <v>4</v>
      </c>
      <c r="C153">
        <v>62</v>
      </c>
    </row>
    <row r="154" spans="1:3">
      <c r="A154" t="str">
        <f>"399959"</f>
        <v>399959</v>
      </c>
      <c r="B154" t="s">
        <v>4</v>
      </c>
      <c r="C154">
        <v>62</v>
      </c>
    </row>
    <row r="155" spans="1:3">
      <c r="A155" t="str">
        <f>"399965"</f>
        <v>399965</v>
      </c>
      <c r="B155" t="s">
        <v>4</v>
      </c>
      <c r="C155">
        <v>62</v>
      </c>
    </row>
    <row r="156" spans="1:3">
      <c r="A156" t="str">
        <f>"399966"</f>
        <v>399966</v>
      </c>
      <c r="B156" t="s">
        <v>4</v>
      </c>
      <c r="C156">
        <v>62</v>
      </c>
    </row>
    <row r="157" spans="1:3">
      <c r="A157" t="str">
        <f>"399967"</f>
        <v>399967</v>
      </c>
      <c r="B157" t="s">
        <v>4</v>
      </c>
      <c r="C157">
        <v>62</v>
      </c>
    </row>
    <row r="158" spans="1:3">
      <c r="A158" t="str">
        <f>"399970"</f>
        <v>399970</v>
      </c>
      <c r="B158" t="s">
        <v>4</v>
      </c>
      <c r="C158">
        <v>62</v>
      </c>
    </row>
    <row r="159" spans="1:3">
      <c r="A159" t="str">
        <f>"399971"</f>
        <v>399971</v>
      </c>
      <c r="B159" t="s">
        <v>4</v>
      </c>
      <c r="C159">
        <v>62</v>
      </c>
    </row>
    <row r="160" spans="1:3">
      <c r="A160" t="str">
        <f>"399973"</f>
        <v>399973</v>
      </c>
      <c r="B160" t="s">
        <v>4</v>
      </c>
      <c r="C160">
        <v>62</v>
      </c>
    </row>
    <row r="161" spans="1:3">
      <c r="A161" t="str">
        <f>"399974"</f>
        <v>399974</v>
      </c>
      <c r="B161" t="s">
        <v>4</v>
      </c>
      <c r="C161">
        <v>62</v>
      </c>
    </row>
    <row r="162" spans="1:3">
      <c r="A162" t="str">
        <f>"399975"</f>
        <v>399975</v>
      </c>
      <c r="B162" t="s">
        <v>4</v>
      </c>
      <c r="C162">
        <v>62</v>
      </c>
    </row>
    <row r="163" spans="1:3">
      <c r="A163" t="str">
        <f>"399976"</f>
        <v>399976</v>
      </c>
      <c r="B163" t="s">
        <v>4</v>
      </c>
      <c r="C163">
        <v>62</v>
      </c>
    </row>
    <row r="164" spans="1:3">
      <c r="A164" t="str">
        <f>"399983"</f>
        <v>399983</v>
      </c>
      <c r="B164" t="s">
        <v>4</v>
      </c>
      <c r="C164">
        <v>62</v>
      </c>
    </row>
    <row r="165" spans="1:3">
      <c r="A165" t="str">
        <f>"399986"</f>
        <v>399986</v>
      </c>
      <c r="B165" t="s">
        <v>4</v>
      </c>
      <c r="C165">
        <v>62</v>
      </c>
    </row>
    <row r="166" spans="1:3">
      <c r="A166" t="str">
        <f>"399987"</f>
        <v>399987</v>
      </c>
      <c r="B166" t="s">
        <v>4</v>
      </c>
      <c r="C166">
        <v>62</v>
      </c>
    </row>
    <row r="167" spans="1:3">
      <c r="A167" t="str">
        <f>"399989"</f>
        <v>399989</v>
      </c>
      <c r="B167" t="s">
        <v>4</v>
      </c>
      <c r="C167">
        <v>62</v>
      </c>
    </row>
    <row r="168" spans="1:3">
      <c r="A168" t="str">
        <f>"399990"</f>
        <v>399990</v>
      </c>
      <c r="B168" t="s">
        <v>4</v>
      </c>
      <c r="C168">
        <v>62</v>
      </c>
    </row>
    <row r="169" spans="1:3">
      <c r="A169" t="str">
        <f>"399991"</f>
        <v>399991</v>
      </c>
      <c r="B169" t="s">
        <v>4</v>
      </c>
      <c r="C169">
        <v>62</v>
      </c>
    </row>
    <row r="170" spans="1:3">
      <c r="A170" t="str">
        <f>"399992"</f>
        <v>399992</v>
      </c>
      <c r="B170" t="s">
        <v>4</v>
      </c>
      <c r="C170">
        <v>62</v>
      </c>
    </row>
    <row r="171" spans="1:3">
      <c r="A171" t="str">
        <f>"399993"</f>
        <v>399993</v>
      </c>
      <c r="B171" t="s">
        <v>4</v>
      </c>
      <c r="C171">
        <v>62</v>
      </c>
    </row>
    <row r="172" spans="1:3">
      <c r="A172" t="str">
        <f>"399994"</f>
        <v>399994</v>
      </c>
      <c r="B172" t="s">
        <v>4</v>
      </c>
      <c r="C172">
        <v>62</v>
      </c>
    </row>
    <row r="173" spans="1:3">
      <c r="A173" t="str">
        <f>"399995"</f>
        <v>399995</v>
      </c>
      <c r="B173" t="s">
        <v>4</v>
      </c>
      <c r="C173">
        <v>62</v>
      </c>
    </row>
    <row r="174" spans="1:3">
      <c r="A174" t="str">
        <f>"399996"</f>
        <v>399996</v>
      </c>
      <c r="B174" t="s">
        <v>4</v>
      </c>
      <c r="C174">
        <v>62</v>
      </c>
    </row>
    <row r="175" spans="1:3">
      <c r="A175" t="str">
        <f>"399997"</f>
        <v>399997</v>
      </c>
      <c r="B175" t="s">
        <v>4</v>
      </c>
      <c r="C175">
        <v>62</v>
      </c>
    </row>
    <row r="176" spans="1:3">
      <c r="A176" t="str">
        <f>"399998"</f>
        <v>399998</v>
      </c>
      <c r="B176" t="s">
        <v>4</v>
      </c>
      <c r="C176">
        <v>62</v>
      </c>
    </row>
    <row r="177" spans="1:3">
      <c r="A177" t="str">
        <f>"704843"</f>
        <v>704843</v>
      </c>
      <c r="B177" t="s">
        <v>4</v>
      </c>
      <c r="C177">
        <v>62</v>
      </c>
    </row>
    <row r="178" spans="1:3">
      <c r="A178" t="str">
        <f>"716567"</f>
        <v>716567</v>
      </c>
      <c r="B178" t="s">
        <v>4</v>
      </c>
      <c r="C178">
        <v>62</v>
      </c>
    </row>
    <row r="179" spans="1:3">
      <c r="A179" t="str">
        <f>"899001"</f>
        <v>899001</v>
      </c>
      <c r="B179" t="s">
        <v>4</v>
      </c>
      <c r="C179">
        <v>62</v>
      </c>
    </row>
    <row r="180" spans="1:3">
      <c r="A180" t="str">
        <f>"899002"</f>
        <v>899002</v>
      </c>
      <c r="B180" t="s">
        <v>4</v>
      </c>
      <c r="C180">
        <v>62</v>
      </c>
    </row>
    <row r="181" spans="1:3">
      <c r="A181" t="str">
        <f>"899003"</f>
        <v>899003</v>
      </c>
      <c r="B181" t="s">
        <v>4</v>
      </c>
      <c r="C181">
        <v>62</v>
      </c>
    </row>
    <row r="182" spans="1:3">
      <c r="A182" t="str">
        <f>"899050"</f>
        <v>899050</v>
      </c>
      <c r="B182" t="s">
        <v>4</v>
      </c>
      <c r="C182">
        <v>62</v>
      </c>
    </row>
    <row r="183" spans="1:3">
      <c r="A183" t="str">
        <f>"899050CNY01"</f>
        <v>899050CNY01</v>
      </c>
      <c r="B183" t="s">
        <v>4</v>
      </c>
      <c r="C183">
        <v>62</v>
      </c>
    </row>
    <row r="184" spans="1:3">
      <c r="A184" t="str">
        <f>"899601"</f>
        <v>899601</v>
      </c>
      <c r="B184" t="s">
        <v>4</v>
      </c>
      <c r="C184">
        <v>62</v>
      </c>
    </row>
    <row r="185" spans="1:3">
      <c r="A185" t="str">
        <f>"921127"</f>
        <v>921127</v>
      </c>
      <c r="B185" t="s">
        <v>4</v>
      </c>
      <c r="C185">
        <v>62</v>
      </c>
    </row>
    <row r="186" spans="1:3">
      <c r="A186" t="str">
        <f>"921128"</f>
        <v>921128</v>
      </c>
      <c r="B186" t="s">
        <v>4</v>
      </c>
      <c r="C186">
        <v>62</v>
      </c>
    </row>
    <row r="187" spans="1:3">
      <c r="A187" t="str">
        <f>"921130"</f>
        <v>921130</v>
      </c>
      <c r="B187" t="s">
        <v>4</v>
      </c>
      <c r="C187">
        <v>62</v>
      </c>
    </row>
    <row r="188" spans="1:3">
      <c r="A188" t="str">
        <f>"921373"</f>
        <v>921373</v>
      </c>
      <c r="B188" t="s">
        <v>4</v>
      </c>
      <c r="C188">
        <v>62</v>
      </c>
    </row>
    <row r="189" spans="1:3">
      <c r="A189" t="str">
        <f>"921376"</f>
        <v>921376</v>
      </c>
      <c r="B189" t="s">
        <v>4</v>
      </c>
      <c r="C189">
        <v>62</v>
      </c>
    </row>
    <row r="190" spans="1:3">
      <c r="A190" t="str">
        <f>"921446"</f>
        <v>921446</v>
      </c>
      <c r="B190" t="s">
        <v>4</v>
      </c>
      <c r="C190">
        <v>62</v>
      </c>
    </row>
    <row r="191" spans="1:3">
      <c r="A191" t="str">
        <f>"921468"</f>
        <v>921468</v>
      </c>
      <c r="B191" t="s">
        <v>4</v>
      </c>
      <c r="C191">
        <v>62</v>
      </c>
    </row>
    <row r="192" spans="1:3">
      <c r="A192" t="str">
        <f>"930050"</f>
        <v>930050</v>
      </c>
      <c r="B192" t="s">
        <v>4</v>
      </c>
      <c r="C192">
        <v>62</v>
      </c>
    </row>
    <row r="193" spans="1:3">
      <c r="A193" t="str">
        <f>"930598"</f>
        <v>930598</v>
      </c>
      <c r="B193" t="s">
        <v>4</v>
      </c>
      <c r="C193">
        <v>62</v>
      </c>
    </row>
    <row r="194" spans="1:3">
      <c r="A194" t="str">
        <f>"930599"</f>
        <v>930599</v>
      </c>
      <c r="B194" t="s">
        <v>4</v>
      </c>
      <c r="C194">
        <v>62</v>
      </c>
    </row>
    <row r="195" spans="1:3">
      <c r="A195" t="str">
        <f>"930601"</f>
        <v>930601</v>
      </c>
      <c r="B195" t="s">
        <v>4</v>
      </c>
      <c r="C195">
        <v>62</v>
      </c>
    </row>
    <row r="196" spans="1:3">
      <c r="A196" t="str">
        <f>"930604"</f>
        <v>930604</v>
      </c>
      <c r="B196" t="s">
        <v>4</v>
      </c>
      <c r="C196">
        <v>62</v>
      </c>
    </row>
    <row r="197" spans="1:3">
      <c r="A197" t="str">
        <f>"930606"</f>
        <v>930606</v>
      </c>
      <c r="B197" t="s">
        <v>4</v>
      </c>
      <c r="C197">
        <v>62</v>
      </c>
    </row>
    <row r="198" spans="1:3">
      <c r="A198" t="str">
        <f>"930607"</f>
        <v>930607</v>
      </c>
      <c r="B198" t="s">
        <v>4</v>
      </c>
      <c r="C198">
        <v>62</v>
      </c>
    </row>
    <row r="199" spans="1:3">
      <c r="A199" t="str">
        <f>"930608"</f>
        <v>930608</v>
      </c>
      <c r="B199" t="s">
        <v>4</v>
      </c>
      <c r="C199">
        <v>62</v>
      </c>
    </row>
    <row r="200" spans="1:3">
      <c r="A200" t="str">
        <f>"930609"</f>
        <v>930609</v>
      </c>
      <c r="B200" t="s">
        <v>4</v>
      </c>
      <c r="C200">
        <v>62</v>
      </c>
    </row>
    <row r="201" spans="1:3">
      <c r="A201" t="str">
        <f>"930610"</f>
        <v>930610</v>
      </c>
      <c r="B201" t="s">
        <v>4</v>
      </c>
      <c r="C201">
        <v>62</v>
      </c>
    </row>
    <row r="202" spans="1:3">
      <c r="A202" t="str">
        <f>"930613"</f>
        <v>930613</v>
      </c>
      <c r="B202" t="s">
        <v>4</v>
      </c>
      <c r="C202">
        <v>62</v>
      </c>
    </row>
    <row r="203" spans="1:3">
      <c r="A203" t="str">
        <f>"930614"</f>
        <v>930614</v>
      </c>
      <c r="B203" t="s">
        <v>4</v>
      </c>
      <c r="C203">
        <v>62</v>
      </c>
    </row>
    <row r="204" spans="1:3">
      <c r="A204" t="str">
        <f>"930616"</f>
        <v>930616</v>
      </c>
      <c r="B204" t="s">
        <v>4</v>
      </c>
      <c r="C204">
        <v>62</v>
      </c>
    </row>
    <row r="205" spans="1:3">
      <c r="A205" t="str">
        <f>"930617"</f>
        <v>930617</v>
      </c>
      <c r="B205" t="s">
        <v>4</v>
      </c>
      <c r="C205">
        <v>62</v>
      </c>
    </row>
    <row r="206" spans="1:3">
      <c r="A206" t="str">
        <f>"930618"</f>
        <v>930618</v>
      </c>
      <c r="B206" t="s">
        <v>4</v>
      </c>
      <c r="C206">
        <v>62</v>
      </c>
    </row>
    <row r="207" spans="1:3">
      <c r="A207" t="str">
        <f>"930619"</f>
        <v>930619</v>
      </c>
      <c r="B207" t="s">
        <v>4</v>
      </c>
      <c r="C207">
        <v>62</v>
      </c>
    </row>
    <row r="208" spans="1:3">
      <c r="A208" t="str">
        <f>"930620"</f>
        <v>930620</v>
      </c>
      <c r="B208" t="s">
        <v>4</v>
      </c>
      <c r="C208">
        <v>62</v>
      </c>
    </row>
    <row r="209" spans="1:3">
      <c r="A209" t="str">
        <f>"930621"</f>
        <v>930621</v>
      </c>
      <c r="B209" t="s">
        <v>4</v>
      </c>
      <c r="C209">
        <v>62</v>
      </c>
    </row>
    <row r="210" spans="1:3">
      <c r="A210" t="str">
        <f>"930622"</f>
        <v>930622</v>
      </c>
      <c r="B210" t="s">
        <v>4</v>
      </c>
      <c r="C210">
        <v>62</v>
      </c>
    </row>
    <row r="211" spans="1:3">
      <c r="A211" t="str">
        <f>"930625"</f>
        <v>930625</v>
      </c>
      <c r="B211" t="s">
        <v>4</v>
      </c>
      <c r="C211">
        <v>62</v>
      </c>
    </row>
    <row r="212" spans="1:3">
      <c r="A212" t="str">
        <f>"930629"</f>
        <v>930629</v>
      </c>
      <c r="B212" t="s">
        <v>4</v>
      </c>
      <c r="C212">
        <v>62</v>
      </c>
    </row>
    <row r="213" spans="1:3">
      <c r="A213" t="str">
        <f>"930632"</f>
        <v>930632</v>
      </c>
      <c r="B213" t="s">
        <v>4</v>
      </c>
      <c r="C213">
        <v>62</v>
      </c>
    </row>
    <row r="214" spans="1:3">
      <c r="A214" t="str">
        <f>"930633"</f>
        <v>930633</v>
      </c>
      <c r="B214" t="s">
        <v>4</v>
      </c>
      <c r="C214">
        <v>62</v>
      </c>
    </row>
    <row r="215" spans="1:3">
      <c r="A215" t="str">
        <f>"930634"</f>
        <v>930634</v>
      </c>
      <c r="B215" t="s">
        <v>4</v>
      </c>
      <c r="C215">
        <v>62</v>
      </c>
    </row>
    <row r="216" spans="1:3">
      <c r="A216" t="str">
        <f>"930635"</f>
        <v>930635</v>
      </c>
      <c r="B216" t="s">
        <v>4</v>
      </c>
      <c r="C216">
        <v>62</v>
      </c>
    </row>
    <row r="217" spans="1:3">
      <c r="A217" t="str">
        <f>"930640"</f>
        <v>930640</v>
      </c>
      <c r="B217" t="s">
        <v>4</v>
      </c>
      <c r="C217">
        <v>62</v>
      </c>
    </row>
    <row r="218" spans="1:3">
      <c r="A218" t="str">
        <f>"930641"</f>
        <v>930641</v>
      </c>
      <c r="B218" t="s">
        <v>4</v>
      </c>
      <c r="C218">
        <v>62</v>
      </c>
    </row>
    <row r="219" spans="1:3">
      <c r="A219" t="str">
        <f>"930643"</f>
        <v>930643</v>
      </c>
      <c r="B219" t="s">
        <v>4</v>
      </c>
      <c r="C219">
        <v>62</v>
      </c>
    </row>
    <row r="220" spans="1:3">
      <c r="A220" t="str">
        <f>"930648"</f>
        <v>930648</v>
      </c>
      <c r="B220" t="s">
        <v>4</v>
      </c>
      <c r="C220">
        <v>62</v>
      </c>
    </row>
    <row r="221" spans="1:3">
      <c r="A221" t="str">
        <f>"930649"</f>
        <v>930649</v>
      </c>
      <c r="B221" t="s">
        <v>4</v>
      </c>
      <c r="C221">
        <v>62</v>
      </c>
    </row>
    <row r="222" spans="1:3">
      <c r="A222" t="str">
        <f>"930650"</f>
        <v>930650</v>
      </c>
      <c r="B222" t="s">
        <v>4</v>
      </c>
      <c r="C222">
        <v>62</v>
      </c>
    </row>
    <row r="223" spans="1:3">
      <c r="A223" t="str">
        <f>"930651"</f>
        <v>930651</v>
      </c>
      <c r="B223" t="s">
        <v>4</v>
      </c>
      <c r="C223">
        <v>62</v>
      </c>
    </row>
    <row r="224" spans="1:3">
      <c r="A224" t="str">
        <f>"930652"</f>
        <v>930652</v>
      </c>
      <c r="B224" t="s">
        <v>4</v>
      </c>
      <c r="C224">
        <v>62</v>
      </c>
    </row>
    <row r="225" spans="1:3">
      <c r="A225" t="str">
        <f>"930653"</f>
        <v>930653</v>
      </c>
      <c r="B225" t="s">
        <v>4</v>
      </c>
      <c r="C225">
        <v>62</v>
      </c>
    </row>
    <row r="226" spans="1:3">
      <c r="A226" t="str">
        <f>"930654"</f>
        <v>930654</v>
      </c>
      <c r="B226" t="s">
        <v>4</v>
      </c>
      <c r="C226">
        <v>62</v>
      </c>
    </row>
    <row r="227" spans="1:3">
      <c r="A227" t="str">
        <f>"930655"</f>
        <v>930655</v>
      </c>
      <c r="B227" t="s">
        <v>4</v>
      </c>
      <c r="C227">
        <v>62</v>
      </c>
    </row>
    <row r="228" spans="1:3">
      <c r="A228" t="str">
        <f>"930656"</f>
        <v>930656</v>
      </c>
      <c r="B228" t="s">
        <v>4</v>
      </c>
      <c r="C228">
        <v>62</v>
      </c>
    </row>
    <row r="229" spans="1:3">
      <c r="A229" t="str">
        <f>"930657"</f>
        <v>930657</v>
      </c>
      <c r="B229" t="s">
        <v>4</v>
      </c>
      <c r="C229">
        <v>62</v>
      </c>
    </row>
    <row r="230" spans="1:3">
      <c r="A230" t="str">
        <f>"930660"</f>
        <v>930660</v>
      </c>
      <c r="B230" t="s">
        <v>4</v>
      </c>
      <c r="C230">
        <v>62</v>
      </c>
    </row>
    <row r="231" spans="1:3">
      <c r="A231" t="str">
        <f>"930661"</f>
        <v>930661</v>
      </c>
      <c r="B231" t="s">
        <v>4</v>
      </c>
      <c r="C231">
        <v>62</v>
      </c>
    </row>
    <row r="232" spans="1:3">
      <c r="A232" t="str">
        <f>"930662"</f>
        <v>930662</v>
      </c>
      <c r="B232" t="s">
        <v>4</v>
      </c>
      <c r="C232">
        <v>62</v>
      </c>
    </row>
    <row r="233" spans="1:3">
      <c r="A233" t="str">
        <f>"930665"</f>
        <v>930665</v>
      </c>
      <c r="B233" t="s">
        <v>4</v>
      </c>
      <c r="C233">
        <v>62</v>
      </c>
    </row>
    <row r="234" spans="1:3">
      <c r="A234" t="str">
        <f>"930666"</f>
        <v>930666</v>
      </c>
      <c r="B234" t="s">
        <v>4</v>
      </c>
      <c r="C234">
        <v>62</v>
      </c>
    </row>
    <row r="235" spans="1:3">
      <c r="A235" t="str">
        <f>"930670"</f>
        <v>930670</v>
      </c>
      <c r="B235" t="s">
        <v>4</v>
      </c>
      <c r="C235">
        <v>62</v>
      </c>
    </row>
    <row r="236" spans="1:3">
      <c r="A236" t="str">
        <f>"930671"</f>
        <v>930671</v>
      </c>
      <c r="B236" t="s">
        <v>4</v>
      </c>
      <c r="C236">
        <v>62</v>
      </c>
    </row>
    <row r="237" spans="1:3">
      <c r="A237" t="str">
        <f>"930672"</f>
        <v>930672</v>
      </c>
      <c r="B237" t="s">
        <v>4</v>
      </c>
      <c r="C237">
        <v>62</v>
      </c>
    </row>
    <row r="238" spans="1:3">
      <c r="A238" t="str">
        <f>"930673"</f>
        <v>930673</v>
      </c>
      <c r="B238" t="s">
        <v>4</v>
      </c>
      <c r="C238">
        <v>62</v>
      </c>
    </row>
    <row r="239" spans="1:3">
      <c r="A239" t="str">
        <f>"930674"</f>
        <v>930674</v>
      </c>
      <c r="B239" t="s">
        <v>4</v>
      </c>
      <c r="C239">
        <v>62</v>
      </c>
    </row>
    <row r="240" spans="1:3">
      <c r="A240" t="str">
        <f>"930675"</f>
        <v>930675</v>
      </c>
      <c r="B240" t="s">
        <v>4</v>
      </c>
      <c r="C240">
        <v>62</v>
      </c>
    </row>
    <row r="241" spans="1:3">
      <c r="A241" t="str">
        <f>"930676"</f>
        <v>930676</v>
      </c>
      <c r="B241" t="s">
        <v>4</v>
      </c>
      <c r="C241">
        <v>62</v>
      </c>
    </row>
    <row r="242" spans="1:3">
      <c r="A242" t="str">
        <f>"930677"</f>
        <v>930677</v>
      </c>
      <c r="B242" t="s">
        <v>4</v>
      </c>
      <c r="C242">
        <v>62</v>
      </c>
    </row>
    <row r="243" spans="1:3">
      <c r="A243" t="str">
        <f>"930679"</f>
        <v>930679</v>
      </c>
      <c r="B243" t="s">
        <v>4</v>
      </c>
      <c r="C243">
        <v>62</v>
      </c>
    </row>
    <row r="244" spans="1:3">
      <c r="A244" t="str">
        <f>"930680"</f>
        <v>930680</v>
      </c>
      <c r="B244" t="s">
        <v>4</v>
      </c>
      <c r="C244">
        <v>62</v>
      </c>
    </row>
    <row r="245" spans="1:3">
      <c r="A245" t="str">
        <f>"930681"</f>
        <v>930681</v>
      </c>
      <c r="B245" t="s">
        <v>4</v>
      </c>
      <c r="C245">
        <v>62</v>
      </c>
    </row>
    <row r="246" spans="1:3">
      <c r="A246" t="str">
        <f>"930682"</f>
        <v>930682</v>
      </c>
      <c r="B246" t="s">
        <v>4</v>
      </c>
      <c r="C246">
        <v>62</v>
      </c>
    </row>
    <row r="247" spans="1:3">
      <c r="A247" t="str">
        <f>"930683"</f>
        <v>930683</v>
      </c>
      <c r="B247" t="s">
        <v>4</v>
      </c>
      <c r="C247">
        <v>62</v>
      </c>
    </row>
    <row r="248" spans="1:3">
      <c r="A248" t="str">
        <f>"930684"</f>
        <v>930684</v>
      </c>
      <c r="B248" t="s">
        <v>4</v>
      </c>
      <c r="C248">
        <v>62</v>
      </c>
    </row>
    <row r="249" spans="1:3">
      <c r="A249" t="str">
        <f>"930685"</f>
        <v>930685</v>
      </c>
      <c r="B249" t="s">
        <v>4</v>
      </c>
      <c r="C249">
        <v>62</v>
      </c>
    </row>
    <row r="250" spans="1:3">
      <c r="A250" t="str">
        <f>"930686"</f>
        <v>930686</v>
      </c>
      <c r="B250" t="s">
        <v>4</v>
      </c>
      <c r="C250">
        <v>62</v>
      </c>
    </row>
    <row r="251" spans="1:3">
      <c r="A251" t="str">
        <f>"930687"</f>
        <v>930687</v>
      </c>
      <c r="B251" t="s">
        <v>4</v>
      </c>
      <c r="C251">
        <v>62</v>
      </c>
    </row>
    <row r="252" spans="1:3">
      <c r="A252" t="str">
        <f>"930688"</f>
        <v>930688</v>
      </c>
      <c r="B252" t="s">
        <v>4</v>
      </c>
      <c r="C252">
        <v>62</v>
      </c>
    </row>
    <row r="253" spans="1:3">
      <c r="A253" t="str">
        <f>"930689"</f>
        <v>930689</v>
      </c>
      <c r="B253" t="s">
        <v>4</v>
      </c>
      <c r="C253">
        <v>62</v>
      </c>
    </row>
    <row r="254" spans="1:3">
      <c r="A254" t="str">
        <f>"930690"</f>
        <v>930690</v>
      </c>
      <c r="B254" t="s">
        <v>4</v>
      </c>
      <c r="C254">
        <v>62</v>
      </c>
    </row>
    <row r="255" spans="1:3">
      <c r="A255" t="str">
        <f>"930691"</f>
        <v>930691</v>
      </c>
      <c r="B255" t="s">
        <v>4</v>
      </c>
      <c r="C255">
        <v>62</v>
      </c>
    </row>
    <row r="256" spans="1:3">
      <c r="A256" t="str">
        <f>"930692"</f>
        <v>930692</v>
      </c>
      <c r="B256" t="s">
        <v>4</v>
      </c>
      <c r="C256">
        <v>62</v>
      </c>
    </row>
    <row r="257" spans="1:3">
      <c r="A257" t="str">
        <f>"930693"</f>
        <v>930693</v>
      </c>
      <c r="B257" t="s">
        <v>4</v>
      </c>
      <c r="C257">
        <v>62</v>
      </c>
    </row>
    <row r="258" spans="1:3">
      <c r="A258" t="str">
        <f>"930694"</f>
        <v>930694</v>
      </c>
      <c r="B258" t="s">
        <v>4</v>
      </c>
      <c r="C258">
        <v>62</v>
      </c>
    </row>
    <row r="259" spans="1:3">
      <c r="A259" t="str">
        <f>"930695"</f>
        <v>930695</v>
      </c>
      <c r="B259" t="s">
        <v>4</v>
      </c>
      <c r="C259">
        <v>62</v>
      </c>
    </row>
    <row r="260" spans="1:3">
      <c r="A260" t="str">
        <f>"930696"</f>
        <v>930696</v>
      </c>
      <c r="B260" t="s">
        <v>4</v>
      </c>
      <c r="C260">
        <v>62</v>
      </c>
    </row>
    <row r="261" spans="1:3">
      <c r="A261" t="str">
        <f>"930697"</f>
        <v>930697</v>
      </c>
      <c r="B261" t="s">
        <v>4</v>
      </c>
      <c r="C261">
        <v>62</v>
      </c>
    </row>
    <row r="262" spans="1:3">
      <c r="A262" t="str">
        <f>"930698"</f>
        <v>930698</v>
      </c>
      <c r="B262" t="s">
        <v>4</v>
      </c>
      <c r="C262">
        <v>62</v>
      </c>
    </row>
    <row r="263" spans="1:3">
      <c r="A263" t="str">
        <f>"930701"</f>
        <v>930701</v>
      </c>
      <c r="B263" t="s">
        <v>4</v>
      </c>
      <c r="C263">
        <v>62</v>
      </c>
    </row>
    <row r="264" spans="1:3">
      <c r="A264" t="str">
        <f>"930706"</f>
        <v>930706</v>
      </c>
      <c r="B264" t="s">
        <v>4</v>
      </c>
      <c r="C264">
        <v>62</v>
      </c>
    </row>
    <row r="265" spans="1:3">
      <c r="A265" t="str">
        <f>"930707"</f>
        <v>930707</v>
      </c>
      <c r="B265" t="s">
        <v>4</v>
      </c>
      <c r="C265">
        <v>62</v>
      </c>
    </row>
    <row r="266" spans="1:3">
      <c r="A266" t="str">
        <f>"930708"</f>
        <v>930708</v>
      </c>
      <c r="B266" t="s">
        <v>4</v>
      </c>
      <c r="C266">
        <v>62</v>
      </c>
    </row>
    <row r="267" spans="1:3">
      <c r="A267" t="str">
        <f>"930709"</f>
        <v>930709</v>
      </c>
      <c r="B267" t="s">
        <v>4</v>
      </c>
      <c r="C267">
        <v>62</v>
      </c>
    </row>
    <row r="268" spans="1:3">
      <c r="A268" t="str">
        <f>"930711"</f>
        <v>930711</v>
      </c>
      <c r="B268" t="s">
        <v>4</v>
      </c>
      <c r="C268">
        <v>62</v>
      </c>
    </row>
    <row r="269" spans="1:3">
      <c r="A269" t="str">
        <f>"930712"</f>
        <v>930712</v>
      </c>
      <c r="B269" t="s">
        <v>4</v>
      </c>
      <c r="C269">
        <v>62</v>
      </c>
    </row>
    <row r="270" spans="1:3">
      <c r="A270" t="str">
        <f>"930713"</f>
        <v>930713</v>
      </c>
      <c r="B270" t="s">
        <v>4</v>
      </c>
      <c r="C270">
        <v>62</v>
      </c>
    </row>
    <row r="271" spans="1:3">
      <c r="A271" t="str">
        <f>"930715"</f>
        <v>930715</v>
      </c>
      <c r="B271" t="s">
        <v>4</v>
      </c>
      <c r="C271">
        <v>62</v>
      </c>
    </row>
    <row r="272" spans="1:3">
      <c r="A272" t="str">
        <f>"930716"</f>
        <v>930716</v>
      </c>
      <c r="B272" t="s">
        <v>4</v>
      </c>
      <c r="C272">
        <v>62</v>
      </c>
    </row>
    <row r="273" spans="1:3">
      <c r="A273" t="str">
        <f>"930718"</f>
        <v>930718</v>
      </c>
      <c r="B273" t="s">
        <v>4</v>
      </c>
      <c r="C273">
        <v>62</v>
      </c>
    </row>
    <row r="274" spans="1:3">
      <c r="A274" t="str">
        <f>"930719"</f>
        <v>930719</v>
      </c>
      <c r="B274" t="s">
        <v>4</v>
      </c>
      <c r="C274">
        <v>62</v>
      </c>
    </row>
    <row r="275" spans="1:3">
      <c r="A275" t="str">
        <f>"930720"</f>
        <v>930720</v>
      </c>
      <c r="B275" t="s">
        <v>4</v>
      </c>
      <c r="C275">
        <v>62</v>
      </c>
    </row>
    <row r="276" spans="1:3">
      <c r="A276" t="str">
        <f>"930721"</f>
        <v>930721</v>
      </c>
      <c r="B276" t="s">
        <v>4</v>
      </c>
      <c r="C276">
        <v>62</v>
      </c>
    </row>
    <row r="277" spans="1:3">
      <c r="A277" t="str">
        <f>"930722"</f>
        <v>930722</v>
      </c>
      <c r="B277" t="s">
        <v>4</v>
      </c>
      <c r="C277">
        <v>62</v>
      </c>
    </row>
    <row r="278" spans="1:3">
      <c r="A278" t="str">
        <f>"930723"</f>
        <v>930723</v>
      </c>
      <c r="B278" t="s">
        <v>4</v>
      </c>
      <c r="C278">
        <v>62</v>
      </c>
    </row>
    <row r="279" spans="1:3">
      <c r="A279" t="str">
        <f>"930725"</f>
        <v>930725</v>
      </c>
      <c r="B279" t="s">
        <v>4</v>
      </c>
      <c r="C279">
        <v>62</v>
      </c>
    </row>
    <row r="280" spans="1:3">
      <c r="A280" t="str">
        <f>"930726"</f>
        <v>930726</v>
      </c>
      <c r="B280" t="s">
        <v>4</v>
      </c>
      <c r="C280">
        <v>62</v>
      </c>
    </row>
    <row r="281" spans="1:3">
      <c r="A281" t="str">
        <f>"930727"</f>
        <v>930727</v>
      </c>
      <c r="B281" t="s">
        <v>4</v>
      </c>
      <c r="C281">
        <v>62</v>
      </c>
    </row>
    <row r="282" spans="1:3">
      <c r="A282" t="str">
        <f>"930732"</f>
        <v>930732</v>
      </c>
      <c r="B282" t="s">
        <v>4</v>
      </c>
      <c r="C282">
        <v>62</v>
      </c>
    </row>
    <row r="283" spans="1:3">
      <c r="A283" t="str">
        <f>"930733"</f>
        <v>930733</v>
      </c>
      <c r="B283" t="s">
        <v>4</v>
      </c>
      <c r="C283">
        <v>62</v>
      </c>
    </row>
    <row r="284" spans="1:3">
      <c r="A284" t="str">
        <f>"930734"</f>
        <v>930734</v>
      </c>
      <c r="B284" t="s">
        <v>4</v>
      </c>
      <c r="C284">
        <v>62</v>
      </c>
    </row>
    <row r="285" spans="1:3">
      <c r="A285" t="str">
        <f>"930738"</f>
        <v>930738</v>
      </c>
      <c r="B285" t="s">
        <v>4</v>
      </c>
      <c r="C285">
        <v>62</v>
      </c>
    </row>
    <row r="286" spans="1:3">
      <c r="A286" t="str">
        <f>"930740"</f>
        <v>930740</v>
      </c>
      <c r="B286" t="s">
        <v>4</v>
      </c>
      <c r="C286">
        <v>62</v>
      </c>
    </row>
    <row r="287" spans="1:3">
      <c r="A287" t="str">
        <f>"930741"</f>
        <v>930741</v>
      </c>
      <c r="B287" t="s">
        <v>4</v>
      </c>
      <c r="C287">
        <v>62</v>
      </c>
    </row>
    <row r="288" spans="1:3">
      <c r="A288" t="str">
        <f>"930742"</f>
        <v>930742</v>
      </c>
      <c r="B288" t="s">
        <v>4</v>
      </c>
      <c r="C288">
        <v>62</v>
      </c>
    </row>
    <row r="289" spans="1:3">
      <c r="A289" t="str">
        <f>"930743"</f>
        <v>930743</v>
      </c>
      <c r="B289" t="s">
        <v>4</v>
      </c>
      <c r="C289">
        <v>62</v>
      </c>
    </row>
    <row r="290" spans="1:3">
      <c r="A290" t="str">
        <f>"930745"</f>
        <v>930745</v>
      </c>
      <c r="B290" t="s">
        <v>4</v>
      </c>
      <c r="C290">
        <v>62</v>
      </c>
    </row>
    <row r="291" spans="1:3">
      <c r="A291" t="str">
        <f>"930746"</f>
        <v>930746</v>
      </c>
      <c r="B291" t="s">
        <v>4</v>
      </c>
      <c r="C291">
        <v>62</v>
      </c>
    </row>
    <row r="292" spans="1:3">
      <c r="A292" t="str">
        <f>"930748"</f>
        <v>930748</v>
      </c>
      <c r="B292" t="s">
        <v>4</v>
      </c>
      <c r="C292">
        <v>62</v>
      </c>
    </row>
    <row r="293" spans="1:3">
      <c r="A293" t="str">
        <f>"930749"</f>
        <v>930749</v>
      </c>
      <c r="B293" t="s">
        <v>4</v>
      </c>
      <c r="C293">
        <v>62</v>
      </c>
    </row>
    <row r="294" spans="1:3">
      <c r="A294" t="str">
        <f>"930758"</f>
        <v>930758</v>
      </c>
      <c r="B294" t="s">
        <v>4</v>
      </c>
      <c r="C294">
        <v>62</v>
      </c>
    </row>
    <row r="295" spans="1:3">
      <c r="A295" t="str">
        <f>"930766"</f>
        <v>930766</v>
      </c>
      <c r="B295" t="s">
        <v>4</v>
      </c>
      <c r="C295">
        <v>62</v>
      </c>
    </row>
    <row r="296" spans="1:3">
      <c r="A296" t="str">
        <f>"930767"</f>
        <v>930767</v>
      </c>
      <c r="B296" t="s">
        <v>4</v>
      </c>
      <c r="C296">
        <v>62</v>
      </c>
    </row>
    <row r="297" spans="1:3">
      <c r="A297" t="str">
        <f>"930772"</f>
        <v>930772</v>
      </c>
      <c r="B297" t="s">
        <v>4</v>
      </c>
      <c r="C297">
        <v>62</v>
      </c>
    </row>
    <row r="298" spans="1:3">
      <c r="A298" t="str">
        <f>"930773"</f>
        <v>930773</v>
      </c>
      <c r="B298" t="s">
        <v>4</v>
      </c>
      <c r="C298">
        <v>62</v>
      </c>
    </row>
    <row r="299" spans="1:3">
      <c r="A299" t="str">
        <f>"930774"</f>
        <v>930774</v>
      </c>
      <c r="B299" t="s">
        <v>4</v>
      </c>
      <c r="C299">
        <v>62</v>
      </c>
    </row>
    <row r="300" spans="1:3">
      <c r="A300" t="str">
        <f>"930775"</f>
        <v>930775</v>
      </c>
      <c r="B300" t="s">
        <v>4</v>
      </c>
      <c r="C300">
        <v>62</v>
      </c>
    </row>
    <row r="301" spans="1:3">
      <c r="A301" t="str">
        <f>"930776"</f>
        <v>930776</v>
      </c>
      <c r="B301" t="s">
        <v>4</v>
      </c>
      <c r="C301">
        <v>62</v>
      </c>
    </row>
    <row r="302" spans="1:3">
      <c r="A302" t="str">
        <f>"930777"</f>
        <v>930777</v>
      </c>
      <c r="B302" t="s">
        <v>4</v>
      </c>
      <c r="C302">
        <v>62</v>
      </c>
    </row>
    <row r="303" spans="1:3">
      <c r="A303" t="str">
        <f>"930780"</f>
        <v>930780</v>
      </c>
      <c r="B303" t="s">
        <v>4</v>
      </c>
      <c r="C303">
        <v>62</v>
      </c>
    </row>
    <row r="304" spans="1:3">
      <c r="A304" t="str">
        <f>"930781"</f>
        <v>930781</v>
      </c>
      <c r="B304" t="s">
        <v>4</v>
      </c>
      <c r="C304">
        <v>62</v>
      </c>
    </row>
    <row r="305" spans="1:3">
      <c r="A305" t="str">
        <f>"930782"</f>
        <v>930782</v>
      </c>
      <c r="B305" t="s">
        <v>4</v>
      </c>
      <c r="C305">
        <v>62</v>
      </c>
    </row>
    <row r="306" spans="1:3">
      <c r="A306" t="str">
        <f>"930783"</f>
        <v>930783</v>
      </c>
      <c r="B306" t="s">
        <v>4</v>
      </c>
      <c r="C306">
        <v>62</v>
      </c>
    </row>
    <row r="307" spans="1:3">
      <c r="A307" t="str">
        <f>"930784"</f>
        <v>930784</v>
      </c>
      <c r="B307" t="s">
        <v>4</v>
      </c>
      <c r="C307">
        <v>62</v>
      </c>
    </row>
    <row r="308" spans="1:3">
      <c r="A308" t="str">
        <f>"930785"</f>
        <v>930785</v>
      </c>
      <c r="B308" t="s">
        <v>4</v>
      </c>
      <c r="C308">
        <v>62</v>
      </c>
    </row>
    <row r="309" spans="1:3">
      <c r="A309" t="str">
        <f>"930786"</f>
        <v>930786</v>
      </c>
      <c r="B309" t="s">
        <v>4</v>
      </c>
      <c r="C309">
        <v>62</v>
      </c>
    </row>
    <row r="310" spans="1:3">
      <c r="A310" t="str">
        <f>"930787"</f>
        <v>930787</v>
      </c>
      <c r="B310" t="s">
        <v>4</v>
      </c>
      <c r="C310">
        <v>62</v>
      </c>
    </row>
    <row r="311" spans="1:3">
      <c r="A311" t="str">
        <f>"930788"</f>
        <v>930788</v>
      </c>
      <c r="B311" t="s">
        <v>4</v>
      </c>
      <c r="C311">
        <v>62</v>
      </c>
    </row>
    <row r="312" spans="1:3">
      <c r="A312" t="str">
        <f>"930789"</f>
        <v>930789</v>
      </c>
      <c r="B312" t="s">
        <v>4</v>
      </c>
      <c r="C312">
        <v>62</v>
      </c>
    </row>
    <row r="313" spans="1:3">
      <c r="A313" t="str">
        <f>"930790"</f>
        <v>930790</v>
      </c>
      <c r="B313" t="s">
        <v>4</v>
      </c>
      <c r="C313">
        <v>62</v>
      </c>
    </row>
    <row r="314" spans="1:3">
      <c r="A314" t="str">
        <f>"930791"</f>
        <v>930791</v>
      </c>
      <c r="B314" t="s">
        <v>4</v>
      </c>
      <c r="C314">
        <v>62</v>
      </c>
    </row>
    <row r="315" spans="1:3">
      <c r="A315" t="str">
        <f>"930792"</f>
        <v>930792</v>
      </c>
      <c r="B315" t="s">
        <v>4</v>
      </c>
      <c r="C315">
        <v>62</v>
      </c>
    </row>
    <row r="316" spans="1:3">
      <c r="A316" t="str">
        <f>"930794"</f>
        <v>930794</v>
      </c>
      <c r="B316" t="s">
        <v>4</v>
      </c>
      <c r="C316">
        <v>62</v>
      </c>
    </row>
    <row r="317" spans="1:3">
      <c r="A317" t="str">
        <f>"930796"</f>
        <v>930796</v>
      </c>
      <c r="B317" t="s">
        <v>4</v>
      </c>
      <c r="C317">
        <v>62</v>
      </c>
    </row>
    <row r="318" spans="1:3">
      <c r="A318" t="str">
        <f>"930820"</f>
        <v>930820</v>
      </c>
      <c r="B318" t="s">
        <v>4</v>
      </c>
      <c r="C318">
        <v>62</v>
      </c>
    </row>
    <row r="319" spans="1:3">
      <c r="A319" t="str">
        <f>"930821"</f>
        <v>930821</v>
      </c>
      <c r="B319" t="s">
        <v>4</v>
      </c>
      <c r="C319">
        <v>62</v>
      </c>
    </row>
    <row r="320" spans="1:3">
      <c r="A320" t="str">
        <f>"930822"</f>
        <v>930822</v>
      </c>
      <c r="B320" t="s">
        <v>4</v>
      </c>
      <c r="C320">
        <v>62</v>
      </c>
    </row>
    <row r="321" spans="1:3">
      <c r="A321" t="str">
        <f>"930823"</f>
        <v>930823</v>
      </c>
      <c r="B321" t="s">
        <v>4</v>
      </c>
      <c r="C321">
        <v>62</v>
      </c>
    </row>
    <row r="322" spans="1:3">
      <c r="A322" t="str">
        <f>"930824"</f>
        <v>930824</v>
      </c>
      <c r="B322" t="s">
        <v>4</v>
      </c>
      <c r="C322">
        <v>62</v>
      </c>
    </row>
    <row r="323" spans="1:3">
      <c r="A323" t="str">
        <f>"930825"</f>
        <v>930825</v>
      </c>
      <c r="B323" t="s">
        <v>4</v>
      </c>
      <c r="C323">
        <v>62</v>
      </c>
    </row>
    <row r="324" spans="1:3">
      <c r="A324" t="str">
        <f>"930826"</f>
        <v>930826</v>
      </c>
      <c r="B324" t="s">
        <v>4</v>
      </c>
      <c r="C324">
        <v>62</v>
      </c>
    </row>
    <row r="325" spans="1:3">
      <c r="A325" t="str">
        <f>"930827"</f>
        <v>930827</v>
      </c>
      <c r="B325" t="s">
        <v>4</v>
      </c>
      <c r="C325">
        <v>62</v>
      </c>
    </row>
    <row r="326" spans="1:3">
      <c r="A326" t="str">
        <f>"930828"</f>
        <v>930828</v>
      </c>
      <c r="B326" t="s">
        <v>4</v>
      </c>
      <c r="C326">
        <v>62</v>
      </c>
    </row>
    <row r="327" spans="1:3">
      <c r="A327" t="str">
        <f>"930829"</f>
        <v>930829</v>
      </c>
      <c r="B327" t="s">
        <v>4</v>
      </c>
      <c r="C327">
        <v>62</v>
      </c>
    </row>
    <row r="328" spans="1:3">
      <c r="A328" t="str">
        <f>"930830"</f>
        <v>930830</v>
      </c>
      <c r="B328" t="s">
        <v>4</v>
      </c>
      <c r="C328">
        <v>62</v>
      </c>
    </row>
    <row r="329" spans="1:3">
      <c r="A329" t="str">
        <f>"930831"</f>
        <v>930831</v>
      </c>
      <c r="B329" t="s">
        <v>4</v>
      </c>
      <c r="C329">
        <v>62</v>
      </c>
    </row>
    <row r="330" spans="1:3">
      <c r="A330" t="str">
        <f>"930832"</f>
        <v>930832</v>
      </c>
      <c r="B330" t="s">
        <v>4</v>
      </c>
      <c r="C330">
        <v>62</v>
      </c>
    </row>
    <row r="331" spans="1:3">
      <c r="A331" t="str">
        <f>"930833"</f>
        <v>930833</v>
      </c>
      <c r="B331" t="s">
        <v>4</v>
      </c>
      <c r="C331">
        <v>62</v>
      </c>
    </row>
    <row r="332" spans="1:3">
      <c r="A332" t="str">
        <f>"930834"</f>
        <v>930834</v>
      </c>
      <c r="B332" t="s">
        <v>4</v>
      </c>
      <c r="C332">
        <v>62</v>
      </c>
    </row>
    <row r="333" spans="1:3">
      <c r="A333" t="str">
        <f>"930836"</f>
        <v>930836</v>
      </c>
      <c r="B333" t="s">
        <v>4</v>
      </c>
      <c r="C333">
        <v>62</v>
      </c>
    </row>
    <row r="334" spans="1:3">
      <c r="A334" t="str">
        <f>"930837"</f>
        <v>930837</v>
      </c>
      <c r="B334" t="s">
        <v>4</v>
      </c>
      <c r="C334">
        <v>62</v>
      </c>
    </row>
    <row r="335" spans="1:3">
      <c r="A335" t="str">
        <f>"930838"</f>
        <v>930838</v>
      </c>
      <c r="B335" t="s">
        <v>4</v>
      </c>
      <c r="C335">
        <v>62</v>
      </c>
    </row>
    <row r="336" spans="1:3">
      <c r="A336" t="str">
        <f>"930839"</f>
        <v>930839</v>
      </c>
      <c r="B336" t="s">
        <v>4</v>
      </c>
      <c r="C336">
        <v>62</v>
      </c>
    </row>
    <row r="337" spans="1:3">
      <c r="A337" t="str">
        <f>"930840"</f>
        <v>930840</v>
      </c>
      <c r="B337" t="s">
        <v>4</v>
      </c>
      <c r="C337">
        <v>62</v>
      </c>
    </row>
    <row r="338" spans="1:3">
      <c r="A338" t="str">
        <f>"930845"</f>
        <v>930845</v>
      </c>
      <c r="B338" t="s">
        <v>4</v>
      </c>
      <c r="C338">
        <v>62</v>
      </c>
    </row>
    <row r="339" spans="1:3">
      <c r="A339" t="str">
        <f>"930849"</f>
        <v>930849</v>
      </c>
      <c r="B339" t="s">
        <v>4</v>
      </c>
      <c r="C339">
        <v>62</v>
      </c>
    </row>
    <row r="340" spans="1:3">
      <c r="A340" t="str">
        <f>"930850"</f>
        <v>930850</v>
      </c>
      <c r="B340" t="s">
        <v>4</v>
      </c>
      <c r="C340">
        <v>62</v>
      </c>
    </row>
    <row r="341" spans="1:3">
      <c r="A341" t="str">
        <f>"930851"</f>
        <v>930851</v>
      </c>
      <c r="B341" t="s">
        <v>4</v>
      </c>
      <c r="C341">
        <v>62</v>
      </c>
    </row>
    <row r="342" spans="1:3">
      <c r="A342" t="str">
        <f>"930852"</f>
        <v>930852</v>
      </c>
      <c r="B342" t="s">
        <v>4</v>
      </c>
      <c r="C342">
        <v>62</v>
      </c>
    </row>
    <row r="343" spans="1:3">
      <c r="A343" t="str">
        <f>"930865"</f>
        <v>930865</v>
      </c>
      <c r="B343" t="s">
        <v>4</v>
      </c>
      <c r="C343">
        <v>62</v>
      </c>
    </row>
    <row r="344" spans="1:3">
      <c r="A344" t="str">
        <f>"930866"</f>
        <v>930866</v>
      </c>
      <c r="B344" t="s">
        <v>4</v>
      </c>
      <c r="C344">
        <v>62</v>
      </c>
    </row>
    <row r="345" spans="1:3">
      <c r="A345" t="str">
        <f>"930870"</f>
        <v>930870</v>
      </c>
      <c r="B345" t="s">
        <v>4</v>
      </c>
      <c r="C345">
        <v>62</v>
      </c>
    </row>
    <row r="346" spans="1:3">
      <c r="A346" t="str">
        <f>"930871"</f>
        <v>930871</v>
      </c>
      <c r="B346" t="s">
        <v>4</v>
      </c>
      <c r="C346">
        <v>62</v>
      </c>
    </row>
    <row r="347" spans="1:3">
      <c r="A347" t="str">
        <f>"930872"</f>
        <v>930872</v>
      </c>
      <c r="B347" t="s">
        <v>4</v>
      </c>
      <c r="C347">
        <v>62</v>
      </c>
    </row>
    <row r="348" spans="1:3">
      <c r="A348" t="str">
        <f>"930873"</f>
        <v>930873</v>
      </c>
      <c r="B348" t="s">
        <v>4</v>
      </c>
      <c r="C348">
        <v>62</v>
      </c>
    </row>
    <row r="349" spans="1:3">
      <c r="A349" t="str">
        <f>"930874"</f>
        <v>930874</v>
      </c>
      <c r="B349" t="s">
        <v>4</v>
      </c>
      <c r="C349">
        <v>62</v>
      </c>
    </row>
    <row r="350" spans="1:3">
      <c r="A350" t="str">
        <f>"930875"</f>
        <v>930875</v>
      </c>
      <c r="B350" t="s">
        <v>4</v>
      </c>
      <c r="C350">
        <v>62</v>
      </c>
    </row>
    <row r="351" spans="1:3">
      <c r="A351" t="str">
        <f>"930882"</f>
        <v>930882</v>
      </c>
      <c r="B351" t="s">
        <v>4</v>
      </c>
      <c r="C351">
        <v>62</v>
      </c>
    </row>
    <row r="352" spans="1:3">
      <c r="A352" t="str">
        <f>"930883"</f>
        <v>930883</v>
      </c>
      <c r="B352" t="s">
        <v>4</v>
      </c>
      <c r="C352">
        <v>62</v>
      </c>
    </row>
    <row r="353" spans="1:3">
      <c r="A353" t="str">
        <f>"930884"</f>
        <v>930884</v>
      </c>
      <c r="B353" t="s">
        <v>4</v>
      </c>
      <c r="C353">
        <v>62</v>
      </c>
    </row>
    <row r="354" spans="1:3">
      <c r="A354" t="str">
        <f>"930885"</f>
        <v>930885</v>
      </c>
      <c r="B354" t="s">
        <v>4</v>
      </c>
      <c r="C354">
        <v>62</v>
      </c>
    </row>
    <row r="355" spans="1:3">
      <c r="A355" t="str">
        <f>"930886"</f>
        <v>930886</v>
      </c>
      <c r="B355" t="s">
        <v>4</v>
      </c>
      <c r="C355">
        <v>62</v>
      </c>
    </row>
    <row r="356" spans="1:3">
      <c r="A356" t="str">
        <f>"930889"</f>
        <v>930889</v>
      </c>
      <c r="B356" t="s">
        <v>4</v>
      </c>
      <c r="C356">
        <v>62</v>
      </c>
    </row>
    <row r="357" spans="1:3">
      <c r="A357" t="str">
        <f>"930890"</f>
        <v>930890</v>
      </c>
      <c r="B357" t="s">
        <v>4</v>
      </c>
      <c r="C357">
        <v>62</v>
      </c>
    </row>
    <row r="358" spans="1:3">
      <c r="A358" t="str">
        <f>"930891"</f>
        <v>930891</v>
      </c>
      <c r="B358" t="s">
        <v>4</v>
      </c>
      <c r="C358">
        <v>62</v>
      </c>
    </row>
    <row r="359" spans="1:3">
      <c r="A359" t="str">
        <f>"930892"</f>
        <v>930892</v>
      </c>
      <c r="B359" t="s">
        <v>4</v>
      </c>
      <c r="C359">
        <v>62</v>
      </c>
    </row>
    <row r="360" spans="1:3">
      <c r="A360" t="str">
        <f>"930893"</f>
        <v>930893</v>
      </c>
      <c r="B360" t="s">
        <v>4</v>
      </c>
      <c r="C360">
        <v>62</v>
      </c>
    </row>
    <row r="361" spans="1:3">
      <c r="A361" t="str">
        <f>"930895"</f>
        <v>930895</v>
      </c>
      <c r="B361" t="s">
        <v>4</v>
      </c>
      <c r="C361">
        <v>62</v>
      </c>
    </row>
    <row r="362" spans="1:3">
      <c r="A362" t="str">
        <f>"930897"</f>
        <v>930897</v>
      </c>
      <c r="B362" t="s">
        <v>4</v>
      </c>
      <c r="C362">
        <v>62</v>
      </c>
    </row>
    <row r="363" spans="1:3">
      <c r="A363" t="str">
        <f>"930898"</f>
        <v>930898</v>
      </c>
      <c r="B363" t="s">
        <v>4</v>
      </c>
      <c r="C363">
        <v>62</v>
      </c>
    </row>
    <row r="364" spans="1:3">
      <c r="A364" t="str">
        <f>"930901"</f>
        <v>930901</v>
      </c>
      <c r="B364" t="s">
        <v>4</v>
      </c>
      <c r="C364">
        <v>62</v>
      </c>
    </row>
    <row r="365" spans="1:3">
      <c r="A365" t="str">
        <f>"930902"</f>
        <v>930902</v>
      </c>
      <c r="B365" t="s">
        <v>4</v>
      </c>
      <c r="C365">
        <v>62</v>
      </c>
    </row>
    <row r="366" spans="1:3">
      <c r="A366" t="str">
        <f>"930903"</f>
        <v>930903</v>
      </c>
      <c r="B366" t="s">
        <v>4</v>
      </c>
      <c r="C366">
        <v>62</v>
      </c>
    </row>
    <row r="367" spans="1:3">
      <c r="A367" t="str">
        <f>"930906"</f>
        <v>930906</v>
      </c>
      <c r="B367" t="s">
        <v>4</v>
      </c>
      <c r="C367">
        <v>62</v>
      </c>
    </row>
    <row r="368" spans="1:3">
      <c r="A368" t="str">
        <f>"930907"</f>
        <v>930907</v>
      </c>
      <c r="B368" t="s">
        <v>4</v>
      </c>
      <c r="C368">
        <v>62</v>
      </c>
    </row>
    <row r="369" spans="1:3">
      <c r="A369" t="str">
        <f>"930908"</f>
        <v>930908</v>
      </c>
      <c r="B369" t="s">
        <v>4</v>
      </c>
      <c r="C369">
        <v>62</v>
      </c>
    </row>
    <row r="370" spans="1:3">
      <c r="A370" t="str">
        <f>"930909"</f>
        <v>930909</v>
      </c>
      <c r="B370" t="s">
        <v>4</v>
      </c>
      <c r="C370">
        <v>62</v>
      </c>
    </row>
    <row r="371" spans="1:3">
      <c r="A371" t="str">
        <f>"930910"</f>
        <v>930910</v>
      </c>
      <c r="B371" t="s">
        <v>4</v>
      </c>
      <c r="C371">
        <v>62</v>
      </c>
    </row>
    <row r="372" spans="1:3">
      <c r="A372" t="str">
        <f>"930911"</f>
        <v>930911</v>
      </c>
      <c r="B372" t="s">
        <v>4</v>
      </c>
      <c r="C372">
        <v>62</v>
      </c>
    </row>
    <row r="373" spans="1:3">
      <c r="A373" t="str">
        <f>"930914"</f>
        <v>930914</v>
      </c>
      <c r="B373" t="s">
        <v>4</v>
      </c>
      <c r="C373">
        <v>62</v>
      </c>
    </row>
    <row r="374" spans="1:3">
      <c r="A374" t="str">
        <f>"930914CNY220"</f>
        <v>930914CNY220</v>
      </c>
      <c r="B374" t="s">
        <v>4</v>
      </c>
      <c r="C374">
        <v>62</v>
      </c>
    </row>
    <row r="375" spans="1:3">
      <c r="A375" t="str">
        <f>"930915"</f>
        <v>930915</v>
      </c>
      <c r="B375" t="s">
        <v>4</v>
      </c>
      <c r="C375">
        <v>62</v>
      </c>
    </row>
    <row r="376" spans="1:3">
      <c r="A376" t="str">
        <f>"930916"</f>
        <v>930916</v>
      </c>
      <c r="B376" t="s">
        <v>4</v>
      </c>
      <c r="C376">
        <v>62</v>
      </c>
    </row>
    <row r="377" spans="1:3">
      <c r="A377" t="str">
        <f>"930917"</f>
        <v>930917</v>
      </c>
      <c r="B377" t="s">
        <v>4</v>
      </c>
      <c r="C377">
        <v>62</v>
      </c>
    </row>
    <row r="378" spans="1:3">
      <c r="A378" t="str">
        <f>"930918"</f>
        <v>930918</v>
      </c>
      <c r="B378" t="s">
        <v>4</v>
      </c>
      <c r="C378">
        <v>62</v>
      </c>
    </row>
    <row r="379" spans="1:3">
      <c r="A379" t="str">
        <f>"930927"</f>
        <v>930927</v>
      </c>
      <c r="B379" t="s">
        <v>4</v>
      </c>
      <c r="C379">
        <v>62</v>
      </c>
    </row>
    <row r="380" spans="1:3">
      <c r="A380" t="str">
        <f>"930928"</f>
        <v>930928</v>
      </c>
      <c r="B380" t="s">
        <v>4</v>
      </c>
      <c r="C380">
        <v>62</v>
      </c>
    </row>
    <row r="381" spans="1:3">
      <c r="A381" t="str">
        <f>"930930"</f>
        <v>930930</v>
      </c>
      <c r="B381" t="s">
        <v>4</v>
      </c>
      <c r="C381">
        <v>62</v>
      </c>
    </row>
    <row r="382" spans="1:3">
      <c r="A382" t="str">
        <f>"930931"</f>
        <v>930931</v>
      </c>
      <c r="B382" t="s">
        <v>4</v>
      </c>
      <c r="C382">
        <v>62</v>
      </c>
    </row>
    <row r="383" spans="1:3">
      <c r="A383" t="str">
        <f>"930937"</f>
        <v>930937</v>
      </c>
      <c r="B383" t="s">
        <v>4</v>
      </c>
      <c r="C383">
        <v>62</v>
      </c>
    </row>
    <row r="384" spans="1:3">
      <c r="A384" t="str">
        <f>"930938"</f>
        <v>930938</v>
      </c>
      <c r="B384" t="s">
        <v>4</v>
      </c>
      <c r="C384">
        <v>62</v>
      </c>
    </row>
    <row r="385" spans="1:3">
      <c r="A385" t="str">
        <f>"930939"</f>
        <v>930939</v>
      </c>
      <c r="B385" t="s">
        <v>4</v>
      </c>
      <c r="C385">
        <v>62</v>
      </c>
    </row>
    <row r="386" spans="1:3">
      <c r="A386" t="str">
        <f>"930940"</f>
        <v>930940</v>
      </c>
      <c r="B386" t="s">
        <v>4</v>
      </c>
      <c r="C386">
        <v>62</v>
      </c>
    </row>
    <row r="387" spans="1:3">
      <c r="A387" t="str">
        <f>"930950"</f>
        <v>930950</v>
      </c>
      <c r="B387" t="s">
        <v>4</v>
      </c>
      <c r="C387">
        <v>62</v>
      </c>
    </row>
    <row r="388" spans="1:3">
      <c r="A388" t="str">
        <f>"930951"</f>
        <v>930951</v>
      </c>
      <c r="B388" t="s">
        <v>4</v>
      </c>
      <c r="C388">
        <v>62</v>
      </c>
    </row>
    <row r="389" spans="1:3">
      <c r="A389" t="str">
        <f>"930952"</f>
        <v>930952</v>
      </c>
      <c r="B389" t="s">
        <v>4</v>
      </c>
      <c r="C389">
        <v>62</v>
      </c>
    </row>
    <row r="390" spans="1:3">
      <c r="A390" t="str">
        <f>"930954"</f>
        <v>930954</v>
      </c>
      <c r="B390" t="s">
        <v>4</v>
      </c>
      <c r="C390">
        <v>62</v>
      </c>
    </row>
    <row r="391" spans="1:3">
      <c r="A391" t="str">
        <f>"930955"</f>
        <v>930955</v>
      </c>
      <c r="B391" t="s">
        <v>4</v>
      </c>
      <c r="C391">
        <v>62</v>
      </c>
    </row>
    <row r="392" spans="1:3">
      <c r="A392" t="str">
        <f>"930957"</f>
        <v>930957</v>
      </c>
      <c r="B392" t="s">
        <v>4</v>
      </c>
      <c r="C392">
        <v>62</v>
      </c>
    </row>
    <row r="393" spans="1:3">
      <c r="A393" t="str">
        <f>"930965"</f>
        <v>930965</v>
      </c>
      <c r="B393" t="s">
        <v>4</v>
      </c>
      <c r="C393">
        <v>62</v>
      </c>
    </row>
    <row r="394" spans="1:3">
      <c r="A394" t="str">
        <f>"930975"</f>
        <v>930975</v>
      </c>
      <c r="B394" t="s">
        <v>4</v>
      </c>
      <c r="C394">
        <v>62</v>
      </c>
    </row>
    <row r="395" spans="1:3">
      <c r="A395" t="str">
        <f>"930986"</f>
        <v>930986</v>
      </c>
      <c r="B395" t="s">
        <v>4</v>
      </c>
      <c r="C395">
        <v>62</v>
      </c>
    </row>
    <row r="396" spans="1:3">
      <c r="A396" t="str">
        <f>"930987"</f>
        <v>930987</v>
      </c>
      <c r="B396" t="s">
        <v>4</v>
      </c>
      <c r="C396">
        <v>62</v>
      </c>
    </row>
    <row r="397" spans="1:3">
      <c r="A397" t="str">
        <f>"930988"</f>
        <v>930988</v>
      </c>
      <c r="B397" t="s">
        <v>4</v>
      </c>
      <c r="C397">
        <v>62</v>
      </c>
    </row>
    <row r="398" spans="1:3">
      <c r="A398" t="str">
        <f>"930989"</f>
        <v>930989</v>
      </c>
      <c r="B398" t="s">
        <v>4</v>
      </c>
      <c r="C398">
        <v>62</v>
      </c>
    </row>
    <row r="399" spans="1:3">
      <c r="A399" t="str">
        <f>"930992"</f>
        <v>930992</v>
      </c>
      <c r="B399" t="s">
        <v>4</v>
      </c>
      <c r="C399">
        <v>62</v>
      </c>
    </row>
    <row r="400" spans="1:3">
      <c r="A400" t="str">
        <f>"930993"</f>
        <v>930993</v>
      </c>
      <c r="B400" t="s">
        <v>4</v>
      </c>
      <c r="C400">
        <v>62</v>
      </c>
    </row>
    <row r="401" spans="1:3">
      <c r="A401" t="str">
        <f>"930994"</f>
        <v>930994</v>
      </c>
      <c r="B401" t="s">
        <v>4</v>
      </c>
      <c r="C401">
        <v>62</v>
      </c>
    </row>
    <row r="402" spans="1:3">
      <c r="A402" t="str">
        <f>"930995"</f>
        <v>930995</v>
      </c>
      <c r="B402" t="s">
        <v>4</v>
      </c>
      <c r="C402">
        <v>62</v>
      </c>
    </row>
    <row r="403" spans="1:3">
      <c r="A403" t="str">
        <f>"930996"</f>
        <v>930996</v>
      </c>
      <c r="B403" t="s">
        <v>4</v>
      </c>
      <c r="C403">
        <v>62</v>
      </c>
    </row>
    <row r="404" spans="1:3">
      <c r="A404" t="str">
        <f>"930997"</f>
        <v>930997</v>
      </c>
      <c r="B404" t="s">
        <v>4</v>
      </c>
      <c r="C404">
        <v>62</v>
      </c>
    </row>
    <row r="405" spans="1:3">
      <c r="A405" t="str">
        <f>"930999"</f>
        <v>930999</v>
      </c>
      <c r="B405" t="s">
        <v>4</v>
      </c>
      <c r="C405">
        <v>62</v>
      </c>
    </row>
    <row r="406" spans="1:3">
      <c r="A406" t="str">
        <f>"931000"</f>
        <v>931000</v>
      </c>
      <c r="B406" t="s">
        <v>4</v>
      </c>
      <c r="C406">
        <v>62</v>
      </c>
    </row>
    <row r="407" spans="1:3">
      <c r="A407" t="str">
        <f>"931004"</f>
        <v>931004</v>
      </c>
      <c r="B407" t="s">
        <v>4</v>
      </c>
      <c r="C407">
        <v>62</v>
      </c>
    </row>
    <row r="408" spans="1:3">
      <c r="A408" t="str">
        <f>"931005"</f>
        <v>931005</v>
      </c>
      <c r="B408" t="s">
        <v>4</v>
      </c>
      <c r="C408">
        <v>62</v>
      </c>
    </row>
    <row r="409" spans="1:3">
      <c r="A409" t="str">
        <f>"931006"</f>
        <v>931006</v>
      </c>
      <c r="B409" t="s">
        <v>4</v>
      </c>
      <c r="C409">
        <v>62</v>
      </c>
    </row>
    <row r="410" spans="1:3">
      <c r="A410" t="str">
        <f>"931008"</f>
        <v>931008</v>
      </c>
      <c r="B410" t="s">
        <v>4</v>
      </c>
      <c r="C410">
        <v>62</v>
      </c>
    </row>
    <row r="411" spans="1:3">
      <c r="A411" t="str">
        <f>"931009"</f>
        <v>931009</v>
      </c>
      <c r="B411" t="s">
        <v>4</v>
      </c>
      <c r="C411">
        <v>62</v>
      </c>
    </row>
    <row r="412" spans="1:3">
      <c r="A412" t="str">
        <f>"931010"</f>
        <v>931010</v>
      </c>
      <c r="B412" t="s">
        <v>4</v>
      </c>
      <c r="C412">
        <v>62</v>
      </c>
    </row>
    <row r="413" spans="1:3">
      <c r="A413" t="str">
        <f>"931016"</f>
        <v>931016</v>
      </c>
      <c r="B413" t="s">
        <v>4</v>
      </c>
      <c r="C413">
        <v>62</v>
      </c>
    </row>
    <row r="414" spans="1:3">
      <c r="A414" t="str">
        <f>"931017"</f>
        <v>931017</v>
      </c>
      <c r="B414" t="s">
        <v>4</v>
      </c>
      <c r="C414">
        <v>62</v>
      </c>
    </row>
    <row r="415" spans="1:3">
      <c r="A415" t="str">
        <f>"931018"</f>
        <v>931018</v>
      </c>
      <c r="B415" t="s">
        <v>4</v>
      </c>
      <c r="C415">
        <v>62</v>
      </c>
    </row>
    <row r="416" spans="1:3">
      <c r="A416" t="str">
        <f>"931020"</f>
        <v>931020</v>
      </c>
      <c r="B416" t="s">
        <v>4</v>
      </c>
      <c r="C416">
        <v>62</v>
      </c>
    </row>
    <row r="417" spans="1:3">
      <c r="A417" t="str">
        <f>"931021"</f>
        <v>931021</v>
      </c>
      <c r="B417" t="s">
        <v>4</v>
      </c>
      <c r="C417">
        <v>62</v>
      </c>
    </row>
    <row r="418" spans="1:3">
      <c r="A418" t="str">
        <f>"931023"</f>
        <v>931023</v>
      </c>
      <c r="B418" t="s">
        <v>4</v>
      </c>
      <c r="C418">
        <v>62</v>
      </c>
    </row>
    <row r="419" spans="1:3">
      <c r="A419" t="str">
        <f>"931024"</f>
        <v>931024</v>
      </c>
      <c r="B419" t="s">
        <v>4</v>
      </c>
      <c r="C419">
        <v>62</v>
      </c>
    </row>
    <row r="420" spans="1:3">
      <c r="A420" t="str">
        <f>"931027"</f>
        <v>931027</v>
      </c>
      <c r="B420" t="s">
        <v>4</v>
      </c>
      <c r="C420">
        <v>62</v>
      </c>
    </row>
    <row r="421" spans="1:3">
      <c r="A421" t="str">
        <f>"931028"</f>
        <v>931028</v>
      </c>
      <c r="B421" t="s">
        <v>4</v>
      </c>
      <c r="C421">
        <v>62</v>
      </c>
    </row>
    <row r="422" spans="1:3">
      <c r="A422" t="str">
        <f>"931032"</f>
        <v>931032</v>
      </c>
      <c r="B422" t="s">
        <v>4</v>
      </c>
      <c r="C422">
        <v>62</v>
      </c>
    </row>
    <row r="423" spans="1:3">
      <c r="A423" t="str">
        <f>"931033"</f>
        <v>931033</v>
      </c>
      <c r="B423" t="s">
        <v>4</v>
      </c>
      <c r="C423">
        <v>62</v>
      </c>
    </row>
    <row r="424" spans="1:3">
      <c r="A424" t="str">
        <f>"931039"</f>
        <v>931039</v>
      </c>
      <c r="B424" t="s">
        <v>4</v>
      </c>
      <c r="C424">
        <v>62</v>
      </c>
    </row>
    <row r="425" spans="1:3">
      <c r="A425" t="str">
        <f>"931052"</f>
        <v>931052</v>
      </c>
      <c r="B425" t="s">
        <v>4</v>
      </c>
      <c r="C425">
        <v>62</v>
      </c>
    </row>
    <row r="426" spans="1:3">
      <c r="A426" t="str">
        <f>"931053"</f>
        <v>931053</v>
      </c>
      <c r="B426" t="s">
        <v>4</v>
      </c>
      <c r="C426">
        <v>62</v>
      </c>
    </row>
    <row r="427" spans="1:3">
      <c r="A427" t="str">
        <f>"931057"</f>
        <v>931057</v>
      </c>
      <c r="B427" t="s">
        <v>4</v>
      </c>
      <c r="C427">
        <v>62</v>
      </c>
    </row>
    <row r="428" spans="1:3">
      <c r="A428" t="str">
        <f>"931058"</f>
        <v>931058</v>
      </c>
      <c r="B428" t="s">
        <v>4</v>
      </c>
      <c r="C428">
        <v>62</v>
      </c>
    </row>
    <row r="429" spans="1:3">
      <c r="A429" t="str">
        <f>"931059"</f>
        <v>931059</v>
      </c>
      <c r="B429" t="s">
        <v>4</v>
      </c>
      <c r="C429">
        <v>62</v>
      </c>
    </row>
    <row r="430" spans="1:3">
      <c r="A430" t="str">
        <f>"931060"</f>
        <v>931060</v>
      </c>
      <c r="B430" t="s">
        <v>4</v>
      </c>
      <c r="C430">
        <v>62</v>
      </c>
    </row>
    <row r="431" spans="1:3">
      <c r="A431" t="str">
        <f>"931063"</f>
        <v>931063</v>
      </c>
      <c r="B431" t="s">
        <v>4</v>
      </c>
      <c r="C431">
        <v>62</v>
      </c>
    </row>
    <row r="432" spans="1:3">
      <c r="A432" t="str">
        <f>"931066"</f>
        <v>931066</v>
      </c>
      <c r="B432" t="s">
        <v>4</v>
      </c>
      <c r="C432">
        <v>62</v>
      </c>
    </row>
    <row r="433" spans="1:3">
      <c r="A433" t="str">
        <f>"931067"</f>
        <v>931067</v>
      </c>
      <c r="B433" t="s">
        <v>4</v>
      </c>
      <c r="C433">
        <v>62</v>
      </c>
    </row>
    <row r="434" spans="1:3">
      <c r="A434" t="str">
        <f>"931068"</f>
        <v>931068</v>
      </c>
      <c r="B434" t="s">
        <v>4</v>
      </c>
      <c r="C434">
        <v>62</v>
      </c>
    </row>
    <row r="435" spans="1:3">
      <c r="A435" t="str">
        <f>"931069"</f>
        <v>931069</v>
      </c>
      <c r="B435" t="s">
        <v>4</v>
      </c>
      <c r="C435">
        <v>62</v>
      </c>
    </row>
    <row r="436" spans="1:3">
      <c r="A436" t="str">
        <f>"931071"</f>
        <v>931071</v>
      </c>
      <c r="B436" t="s">
        <v>4</v>
      </c>
      <c r="C436">
        <v>62</v>
      </c>
    </row>
    <row r="437" spans="1:3">
      <c r="A437" t="str">
        <f>"931072"</f>
        <v>931072</v>
      </c>
      <c r="B437" t="s">
        <v>4</v>
      </c>
      <c r="C437">
        <v>62</v>
      </c>
    </row>
    <row r="438" spans="1:3">
      <c r="A438" t="str">
        <f>"931073"</f>
        <v>931073</v>
      </c>
      <c r="B438" t="s">
        <v>4</v>
      </c>
      <c r="C438">
        <v>62</v>
      </c>
    </row>
    <row r="439" spans="1:3">
      <c r="A439" t="str">
        <f>"931074"</f>
        <v>931074</v>
      </c>
      <c r="B439" t="s">
        <v>4</v>
      </c>
      <c r="C439">
        <v>62</v>
      </c>
    </row>
    <row r="440" spans="1:3">
      <c r="A440" t="str">
        <f>"931075"</f>
        <v>931075</v>
      </c>
      <c r="B440" t="s">
        <v>4</v>
      </c>
      <c r="C440">
        <v>62</v>
      </c>
    </row>
    <row r="441" spans="1:3">
      <c r="A441" t="str">
        <f>"931076"</f>
        <v>931076</v>
      </c>
      <c r="B441" t="s">
        <v>4</v>
      </c>
      <c r="C441">
        <v>62</v>
      </c>
    </row>
    <row r="442" spans="1:3">
      <c r="A442" t="str">
        <f>"931077"</f>
        <v>931077</v>
      </c>
      <c r="B442" t="s">
        <v>4</v>
      </c>
      <c r="C442">
        <v>62</v>
      </c>
    </row>
    <row r="443" spans="1:3">
      <c r="A443" t="str">
        <f>"931078"</f>
        <v>931078</v>
      </c>
      <c r="B443" t="s">
        <v>4</v>
      </c>
      <c r="C443">
        <v>62</v>
      </c>
    </row>
    <row r="444" spans="1:3">
      <c r="A444" t="str">
        <f>"931079"</f>
        <v>931079</v>
      </c>
      <c r="B444" t="s">
        <v>4</v>
      </c>
      <c r="C444">
        <v>62</v>
      </c>
    </row>
    <row r="445" spans="1:3">
      <c r="A445" t="str">
        <f>"931080"</f>
        <v>931080</v>
      </c>
      <c r="B445" t="s">
        <v>4</v>
      </c>
      <c r="C445">
        <v>62</v>
      </c>
    </row>
    <row r="446" spans="1:3">
      <c r="A446" t="str">
        <f>"931082"</f>
        <v>931082</v>
      </c>
      <c r="B446" t="s">
        <v>4</v>
      </c>
      <c r="C446">
        <v>62</v>
      </c>
    </row>
    <row r="447" spans="1:3">
      <c r="A447" t="str">
        <f>"931087"</f>
        <v>931087</v>
      </c>
      <c r="B447" t="s">
        <v>4</v>
      </c>
      <c r="C447">
        <v>62</v>
      </c>
    </row>
    <row r="448" spans="1:3">
      <c r="A448" t="str">
        <f>"931088"</f>
        <v>931088</v>
      </c>
      <c r="B448" t="s">
        <v>4</v>
      </c>
      <c r="C448">
        <v>62</v>
      </c>
    </row>
    <row r="449" spans="1:3">
      <c r="A449" t="str">
        <f>"931129"</f>
        <v>931129</v>
      </c>
      <c r="B449" t="s">
        <v>4</v>
      </c>
      <c r="C449">
        <v>62</v>
      </c>
    </row>
    <row r="450" spans="1:3">
      <c r="A450" t="str">
        <f>"931130"</f>
        <v>931130</v>
      </c>
      <c r="B450" t="s">
        <v>4</v>
      </c>
      <c r="C450">
        <v>62</v>
      </c>
    </row>
    <row r="451" spans="1:3">
      <c r="A451" t="str">
        <f>"931131"</f>
        <v>931131</v>
      </c>
      <c r="B451" t="s">
        <v>4</v>
      </c>
      <c r="C451">
        <v>62</v>
      </c>
    </row>
    <row r="452" spans="1:3">
      <c r="A452" t="str">
        <f>"931132"</f>
        <v>931132</v>
      </c>
      <c r="B452" t="s">
        <v>4</v>
      </c>
      <c r="C452">
        <v>62</v>
      </c>
    </row>
    <row r="453" spans="1:3">
      <c r="A453" t="str">
        <f>"931132CNY01"</f>
        <v>931132CNY01</v>
      </c>
      <c r="B453" t="s">
        <v>4</v>
      </c>
      <c r="C453">
        <v>62</v>
      </c>
    </row>
    <row r="454" spans="1:3">
      <c r="A454" t="str">
        <f>"931132CNY02"</f>
        <v>931132CNY02</v>
      </c>
      <c r="B454" t="s">
        <v>4</v>
      </c>
      <c r="C454">
        <v>62</v>
      </c>
    </row>
    <row r="455" spans="1:3">
      <c r="A455" t="str">
        <f>"931133"</f>
        <v>931133</v>
      </c>
      <c r="B455" t="s">
        <v>4</v>
      </c>
      <c r="C455">
        <v>62</v>
      </c>
    </row>
    <row r="456" spans="1:3">
      <c r="A456" t="str">
        <f>"931134"</f>
        <v>931134</v>
      </c>
      <c r="B456" t="s">
        <v>4</v>
      </c>
      <c r="C456">
        <v>62</v>
      </c>
    </row>
    <row r="457" spans="1:3">
      <c r="A457" t="str">
        <f>"931136"</f>
        <v>931136</v>
      </c>
      <c r="B457" t="s">
        <v>4</v>
      </c>
      <c r="C457">
        <v>62</v>
      </c>
    </row>
    <row r="458" spans="1:3">
      <c r="A458" t="str">
        <f>"931138"</f>
        <v>931138</v>
      </c>
      <c r="B458" t="s">
        <v>4</v>
      </c>
      <c r="C458">
        <v>62</v>
      </c>
    </row>
    <row r="459" spans="1:3">
      <c r="A459" t="str">
        <f>"931139"</f>
        <v>931139</v>
      </c>
      <c r="B459" t="s">
        <v>4</v>
      </c>
      <c r="C459">
        <v>62</v>
      </c>
    </row>
    <row r="460" spans="1:3">
      <c r="A460" t="str">
        <f>"931140"</f>
        <v>931140</v>
      </c>
      <c r="B460" t="s">
        <v>4</v>
      </c>
      <c r="C460">
        <v>62</v>
      </c>
    </row>
    <row r="461" spans="1:3">
      <c r="A461" t="str">
        <f>"931141"</f>
        <v>931141</v>
      </c>
      <c r="B461" t="s">
        <v>4</v>
      </c>
      <c r="C461">
        <v>62</v>
      </c>
    </row>
    <row r="462" spans="1:3">
      <c r="A462" t="str">
        <f>"931142"</f>
        <v>931142</v>
      </c>
      <c r="B462" t="s">
        <v>4</v>
      </c>
      <c r="C462">
        <v>62</v>
      </c>
    </row>
    <row r="463" spans="1:3">
      <c r="A463" t="str">
        <f>"931143"</f>
        <v>931143</v>
      </c>
      <c r="B463" t="s">
        <v>4</v>
      </c>
      <c r="C463">
        <v>62</v>
      </c>
    </row>
    <row r="464" spans="1:3">
      <c r="A464" t="str">
        <f>"931144"</f>
        <v>931144</v>
      </c>
      <c r="B464" t="s">
        <v>4</v>
      </c>
      <c r="C464">
        <v>62</v>
      </c>
    </row>
    <row r="465" spans="1:3">
      <c r="A465" t="str">
        <f>"931145"</f>
        <v>931145</v>
      </c>
      <c r="B465" t="s">
        <v>4</v>
      </c>
      <c r="C465">
        <v>62</v>
      </c>
    </row>
    <row r="466" spans="1:3">
      <c r="A466" t="str">
        <f>"931146"</f>
        <v>931146</v>
      </c>
      <c r="B466" t="s">
        <v>4</v>
      </c>
      <c r="C466">
        <v>62</v>
      </c>
    </row>
    <row r="467" spans="1:3">
      <c r="A467" t="str">
        <f>"931147"</f>
        <v>931147</v>
      </c>
      <c r="B467" t="s">
        <v>4</v>
      </c>
      <c r="C467">
        <v>62</v>
      </c>
    </row>
    <row r="468" spans="1:3">
      <c r="A468" t="str">
        <f>"931150"</f>
        <v>931150</v>
      </c>
      <c r="B468" t="s">
        <v>4</v>
      </c>
      <c r="C468">
        <v>62</v>
      </c>
    </row>
    <row r="469" spans="1:3">
      <c r="A469" t="str">
        <f>"931151"</f>
        <v>931151</v>
      </c>
      <c r="B469" t="s">
        <v>4</v>
      </c>
      <c r="C469">
        <v>62</v>
      </c>
    </row>
    <row r="470" spans="1:3">
      <c r="A470" t="str">
        <f>"931152"</f>
        <v>931152</v>
      </c>
      <c r="B470" t="s">
        <v>4</v>
      </c>
      <c r="C470">
        <v>62</v>
      </c>
    </row>
    <row r="471" spans="1:3">
      <c r="A471" t="str">
        <f>"931153"</f>
        <v>931153</v>
      </c>
      <c r="B471" t="s">
        <v>4</v>
      </c>
      <c r="C471">
        <v>62</v>
      </c>
    </row>
    <row r="472" spans="1:3">
      <c r="A472" t="str">
        <f>"931154"</f>
        <v>931154</v>
      </c>
      <c r="B472" t="s">
        <v>4</v>
      </c>
      <c r="C472">
        <v>62</v>
      </c>
    </row>
    <row r="473" spans="1:3">
      <c r="A473" t="str">
        <f>"931157"</f>
        <v>931157</v>
      </c>
      <c r="B473" t="s">
        <v>4</v>
      </c>
      <c r="C473">
        <v>62</v>
      </c>
    </row>
    <row r="474" spans="1:3">
      <c r="A474" t="str">
        <f>"931158"</f>
        <v>931158</v>
      </c>
      <c r="B474" t="s">
        <v>4</v>
      </c>
      <c r="C474">
        <v>62</v>
      </c>
    </row>
    <row r="475" spans="1:3">
      <c r="A475" t="str">
        <f>"931159"</f>
        <v>931159</v>
      </c>
      <c r="B475" t="s">
        <v>4</v>
      </c>
      <c r="C475">
        <v>62</v>
      </c>
    </row>
    <row r="476" spans="1:3">
      <c r="A476" t="str">
        <f>"931160"</f>
        <v>931160</v>
      </c>
      <c r="B476" t="s">
        <v>4</v>
      </c>
      <c r="C476">
        <v>62</v>
      </c>
    </row>
    <row r="477" spans="1:3">
      <c r="A477" t="str">
        <f>"931161"</f>
        <v>931161</v>
      </c>
      <c r="B477" t="s">
        <v>4</v>
      </c>
      <c r="C477">
        <v>62</v>
      </c>
    </row>
    <row r="478" spans="1:3">
      <c r="A478" t="str">
        <f>"931162"</f>
        <v>931162</v>
      </c>
      <c r="B478" t="s">
        <v>4</v>
      </c>
      <c r="C478">
        <v>62</v>
      </c>
    </row>
    <row r="479" spans="1:3">
      <c r="A479" t="str">
        <f>"931163"</f>
        <v>931163</v>
      </c>
      <c r="B479" t="s">
        <v>4</v>
      </c>
      <c r="C479">
        <v>62</v>
      </c>
    </row>
    <row r="480" spans="1:3">
      <c r="A480" t="str">
        <f>"931165"</f>
        <v>931165</v>
      </c>
      <c r="B480" t="s">
        <v>4</v>
      </c>
      <c r="C480">
        <v>62</v>
      </c>
    </row>
    <row r="481" spans="1:3">
      <c r="A481" t="str">
        <f>"931166"</f>
        <v>931166</v>
      </c>
      <c r="B481" t="s">
        <v>4</v>
      </c>
      <c r="C481">
        <v>62</v>
      </c>
    </row>
    <row r="482" spans="1:3">
      <c r="A482" t="str">
        <f>"931167"</f>
        <v>931167</v>
      </c>
      <c r="B482" t="s">
        <v>4</v>
      </c>
      <c r="C482">
        <v>62</v>
      </c>
    </row>
    <row r="483" spans="1:3">
      <c r="A483" t="str">
        <f>"931168"</f>
        <v>931168</v>
      </c>
      <c r="B483" t="s">
        <v>4</v>
      </c>
      <c r="C483">
        <v>62</v>
      </c>
    </row>
    <row r="484" spans="1:3">
      <c r="A484" t="str">
        <f>"931169"</f>
        <v>931169</v>
      </c>
      <c r="B484" t="s">
        <v>4</v>
      </c>
      <c r="C484">
        <v>62</v>
      </c>
    </row>
    <row r="485" spans="1:3">
      <c r="A485" t="str">
        <f>"931170"</f>
        <v>931170</v>
      </c>
      <c r="B485" t="s">
        <v>4</v>
      </c>
      <c r="C485">
        <v>62</v>
      </c>
    </row>
    <row r="486" spans="1:3">
      <c r="A486" t="str">
        <f>"931172"</f>
        <v>931172</v>
      </c>
      <c r="B486" t="s">
        <v>4</v>
      </c>
      <c r="C486">
        <v>62</v>
      </c>
    </row>
    <row r="487" spans="1:3">
      <c r="A487" t="str">
        <f>"931173"</f>
        <v>931173</v>
      </c>
      <c r="B487" t="s">
        <v>4</v>
      </c>
      <c r="C487">
        <v>62</v>
      </c>
    </row>
    <row r="488" spans="1:3">
      <c r="A488" t="str">
        <f>"931174"</f>
        <v>931174</v>
      </c>
      <c r="B488" t="s">
        <v>4</v>
      </c>
      <c r="C488">
        <v>62</v>
      </c>
    </row>
    <row r="489" spans="1:3">
      <c r="A489" t="str">
        <f>"931175"</f>
        <v>931175</v>
      </c>
      <c r="B489" t="s">
        <v>4</v>
      </c>
      <c r="C489">
        <v>62</v>
      </c>
    </row>
    <row r="490" spans="1:3">
      <c r="A490" t="str">
        <f>"931180"</f>
        <v>931180</v>
      </c>
      <c r="B490" t="s">
        <v>4</v>
      </c>
      <c r="C490">
        <v>62</v>
      </c>
    </row>
    <row r="491" spans="1:3">
      <c r="A491" t="str">
        <f>"931181"</f>
        <v>931181</v>
      </c>
      <c r="B491" t="s">
        <v>4</v>
      </c>
      <c r="C491">
        <v>62</v>
      </c>
    </row>
    <row r="492" spans="1:3">
      <c r="A492" t="str">
        <f>"931182"</f>
        <v>931182</v>
      </c>
      <c r="B492" t="s">
        <v>4</v>
      </c>
      <c r="C492">
        <v>62</v>
      </c>
    </row>
    <row r="493" spans="1:3">
      <c r="A493" t="str">
        <f>"931183"</f>
        <v>931183</v>
      </c>
      <c r="B493" t="s">
        <v>4</v>
      </c>
      <c r="C493">
        <v>62</v>
      </c>
    </row>
    <row r="494" spans="1:3">
      <c r="A494" t="str">
        <f>"931184"</f>
        <v>931184</v>
      </c>
      <c r="B494" t="s">
        <v>4</v>
      </c>
      <c r="C494">
        <v>62</v>
      </c>
    </row>
    <row r="495" spans="1:3">
      <c r="A495" t="str">
        <f>"931185"</f>
        <v>931185</v>
      </c>
      <c r="B495" t="s">
        <v>4</v>
      </c>
      <c r="C495">
        <v>62</v>
      </c>
    </row>
    <row r="496" spans="1:3">
      <c r="A496" t="str">
        <f>"931186"</f>
        <v>931186</v>
      </c>
      <c r="B496" t="s">
        <v>4</v>
      </c>
      <c r="C496">
        <v>62</v>
      </c>
    </row>
    <row r="497" spans="1:3">
      <c r="A497" t="str">
        <f>"931187"</f>
        <v>931187</v>
      </c>
      <c r="B497" t="s">
        <v>4</v>
      </c>
      <c r="C497">
        <v>62</v>
      </c>
    </row>
    <row r="498" spans="1:3">
      <c r="A498" t="str">
        <f>"931189"</f>
        <v>931189</v>
      </c>
      <c r="B498" t="s">
        <v>4</v>
      </c>
      <c r="C498">
        <v>62</v>
      </c>
    </row>
    <row r="499" spans="1:3">
      <c r="A499" t="str">
        <f>"931190"</f>
        <v>931190</v>
      </c>
      <c r="B499" t="s">
        <v>4</v>
      </c>
      <c r="C499">
        <v>62</v>
      </c>
    </row>
    <row r="500" spans="1:3">
      <c r="A500" t="str">
        <f>"931191"</f>
        <v>931191</v>
      </c>
      <c r="B500" t="s">
        <v>4</v>
      </c>
      <c r="C500">
        <v>62</v>
      </c>
    </row>
    <row r="501" spans="1:3">
      <c r="A501" t="str">
        <f>"931192"</f>
        <v>931192</v>
      </c>
      <c r="B501" t="s">
        <v>4</v>
      </c>
      <c r="C501">
        <v>62</v>
      </c>
    </row>
    <row r="502" spans="1:3">
      <c r="A502" t="str">
        <f>"931193"</f>
        <v>931193</v>
      </c>
      <c r="B502" t="s">
        <v>4</v>
      </c>
      <c r="C502">
        <v>62</v>
      </c>
    </row>
    <row r="503" spans="1:3">
      <c r="A503" t="str">
        <f>"931194"</f>
        <v>931194</v>
      </c>
      <c r="B503" t="s">
        <v>4</v>
      </c>
      <c r="C503">
        <v>62</v>
      </c>
    </row>
    <row r="504" spans="1:3">
      <c r="A504" t="str">
        <f>"931195"</f>
        <v>931195</v>
      </c>
      <c r="B504" t="s">
        <v>4</v>
      </c>
      <c r="C504">
        <v>62</v>
      </c>
    </row>
    <row r="505" spans="1:3">
      <c r="A505" t="str">
        <f>"931196"</f>
        <v>931196</v>
      </c>
      <c r="B505" t="s">
        <v>4</v>
      </c>
      <c r="C505">
        <v>62</v>
      </c>
    </row>
    <row r="506" spans="1:3">
      <c r="A506" t="str">
        <f>"931197"</f>
        <v>931197</v>
      </c>
      <c r="B506" t="s">
        <v>4</v>
      </c>
      <c r="C506">
        <v>62</v>
      </c>
    </row>
    <row r="507" spans="1:3">
      <c r="A507" t="str">
        <f>"931198"</f>
        <v>931198</v>
      </c>
      <c r="B507" t="s">
        <v>4</v>
      </c>
      <c r="C507">
        <v>62</v>
      </c>
    </row>
    <row r="508" spans="1:3">
      <c r="A508" t="str">
        <f>"931199"</f>
        <v>931199</v>
      </c>
      <c r="B508" t="s">
        <v>4</v>
      </c>
      <c r="C508">
        <v>62</v>
      </c>
    </row>
    <row r="509" spans="1:3">
      <c r="A509" t="str">
        <f>"931200"</f>
        <v>931200</v>
      </c>
      <c r="B509" t="s">
        <v>4</v>
      </c>
      <c r="C509">
        <v>62</v>
      </c>
    </row>
    <row r="510" spans="1:3">
      <c r="A510" t="str">
        <f>"931201"</f>
        <v>931201</v>
      </c>
      <c r="B510" t="s">
        <v>4</v>
      </c>
      <c r="C510">
        <v>62</v>
      </c>
    </row>
    <row r="511" spans="1:3">
      <c r="A511" t="str">
        <f>"931202"</f>
        <v>931202</v>
      </c>
      <c r="B511" t="s">
        <v>4</v>
      </c>
      <c r="C511">
        <v>62</v>
      </c>
    </row>
    <row r="512" spans="1:3">
      <c r="A512" t="str">
        <f>"931203"</f>
        <v>931203</v>
      </c>
      <c r="B512" t="s">
        <v>4</v>
      </c>
      <c r="C512">
        <v>62</v>
      </c>
    </row>
    <row r="513" spans="1:3">
      <c r="A513" t="str">
        <f>"931204"</f>
        <v>931204</v>
      </c>
      <c r="B513" t="s">
        <v>4</v>
      </c>
      <c r="C513">
        <v>62</v>
      </c>
    </row>
    <row r="514" spans="1:3">
      <c r="A514" t="str">
        <f>"931205"</f>
        <v>931205</v>
      </c>
      <c r="B514" t="s">
        <v>4</v>
      </c>
      <c r="C514">
        <v>62</v>
      </c>
    </row>
    <row r="515" spans="1:3">
      <c r="A515" t="str">
        <f>"931206"</f>
        <v>931206</v>
      </c>
      <c r="B515" t="s">
        <v>4</v>
      </c>
      <c r="C515">
        <v>62</v>
      </c>
    </row>
    <row r="516" spans="1:3">
      <c r="A516" t="str">
        <f>"931207"</f>
        <v>931207</v>
      </c>
      <c r="B516" t="s">
        <v>4</v>
      </c>
      <c r="C516">
        <v>62</v>
      </c>
    </row>
    <row r="517" spans="1:3">
      <c r="A517" t="str">
        <f>"931208"</f>
        <v>931208</v>
      </c>
      <c r="B517" t="s">
        <v>4</v>
      </c>
      <c r="C517">
        <v>62</v>
      </c>
    </row>
    <row r="518" spans="1:3">
      <c r="A518" t="str">
        <f>"931209"</f>
        <v>931209</v>
      </c>
      <c r="B518" t="s">
        <v>4</v>
      </c>
      <c r="C518">
        <v>62</v>
      </c>
    </row>
    <row r="519" spans="1:3">
      <c r="A519" t="str">
        <f>"931210"</f>
        <v>931210</v>
      </c>
      <c r="B519" t="s">
        <v>4</v>
      </c>
      <c r="C519">
        <v>62</v>
      </c>
    </row>
    <row r="520" spans="1:3">
      <c r="A520" t="str">
        <f>"931211"</f>
        <v>931211</v>
      </c>
      <c r="B520" t="s">
        <v>4</v>
      </c>
      <c r="C520">
        <v>62</v>
      </c>
    </row>
    <row r="521" spans="1:3">
      <c r="A521" t="str">
        <f>"931212"</f>
        <v>931212</v>
      </c>
      <c r="B521" t="s">
        <v>4</v>
      </c>
      <c r="C521">
        <v>62</v>
      </c>
    </row>
    <row r="522" spans="1:3">
      <c r="A522" t="str">
        <f>"931213"</f>
        <v>931213</v>
      </c>
      <c r="B522" t="s">
        <v>4</v>
      </c>
      <c r="C522">
        <v>62</v>
      </c>
    </row>
    <row r="523" spans="1:3">
      <c r="A523" t="str">
        <f>"931214"</f>
        <v>931214</v>
      </c>
      <c r="B523" t="s">
        <v>4</v>
      </c>
      <c r="C523">
        <v>62</v>
      </c>
    </row>
    <row r="524" spans="1:3">
      <c r="A524" t="str">
        <f>"931215"</f>
        <v>931215</v>
      </c>
      <c r="B524" t="s">
        <v>4</v>
      </c>
      <c r="C524">
        <v>62</v>
      </c>
    </row>
    <row r="525" spans="1:3">
      <c r="A525" t="str">
        <f>"931216"</f>
        <v>931216</v>
      </c>
      <c r="B525" t="s">
        <v>4</v>
      </c>
      <c r="C525">
        <v>62</v>
      </c>
    </row>
    <row r="526" spans="1:3">
      <c r="A526" t="str">
        <f>"931217"</f>
        <v>931217</v>
      </c>
      <c r="B526" t="s">
        <v>4</v>
      </c>
      <c r="C526">
        <v>62</v>
      </c>
    </row>
    <row r="527" spans="1:3">
      <c r="A527" t="str">
        <f>"931218"</f>
        <v>931218</v>
      </c>
      <c r="B527" t="s">
        <v>4</v>
      </c>
      <c r="C527">
        <v>62</v>
      </c>
    </row>
    <row r="528" spans="1:3">
      <c r="A528" t="str">
        <f>"931219"</f>
        <v>931219</v>
      </c>
      <c r="B528" t="s">
        <v>4</v>
      </c>
      <c r="C528">
        <v>62</v>
      </c>
    </row>
    <row r="529" spans="1:3">
      <c r="A529" t="str">
        <f>"931220"</f>
        <v>931220</v>
      </c>
      <c r="B529" t="s">
        <v>4</v>
      </c>
      <c r="C529">
        <v>62</v>
      </c>
    </row>
    <row r="530" spans="1:3">
      <c r="A530" t="str">
        <f>"931221"</f>
        <v>931221</v>
      </c>
      <c r="B530" t="s">
        <v>4</v>
      </c>
      <c r="C530">
        <v>62</v>
      </c>
    </row>
    <row r="531" spans="1:3">
      <c r="A531" t="str">
        <f>"931222"</f>
        <v>931222</v>
      </c>
      <c r="B531" t="s">
        <v>4</v>
      </c>
      <c r="C531">
        <v>62</v>
      </c>
    </row>
    <row r="532" spans="1:3">
      <c r="A532" t="str">
        <f>"931223"</f>
        <v>931223</v>
      </c>
      <c r="B532" t="s">
        <v>4</v>
      </c>
      <c r="C532">
        <v>62</v>
      </c>
    </row>
    <row r="533" spans="1:3">
      <c r="A533" t="str">
        <f>"931225"</f>
        <v>931225</v>
      </c>
      <c r="B533" t="s">
        <v>4</v>
      </c>
      <c r="C533">
        <v>62</v>
      </c>
    </row>
    <row r="534" spans="1:3">
      <c r="A534" t="str">
        <f>"931227"</f>
        <v>931227</v>
      </c>
      <c r="B534" t="s">
        <v>4</v>
      </c>
      <c r="C534">
        <v>62</v>
      </c>
    </row>
    <row r="535" spans="1:3">
      <c r="A535" t="str">
        <f>"931228"</f>
        <v>931228</v>
      </c>
      <c r="B535" t="s">
        <v>4</v>
      </c>
      <c r="C535">
        <v>62</v>
      </c>
    </row>
    <row r="536" spans="1:3">
      <c r="A536" t="str">
        <f>"931230"</f>
        <v>931230</v>
      </c>
      <c r="B536" t="s">
        <v>4</v>
      </c>
      <c r="C536">
        <v>62</v>
      </c>
    </row>
    <row r="537" spans="1:3">
      <c r="A537" t="str">
        <f>"931231"</f>
        <v>931231</v>
      </c>
      <c r="B537" t="s">
        <v>4</v>
      </c>
      <c r="C537">
        <v>62</v>
      </c>
    </row>
    <row r="538" spans="1:3">
      <c r="A538" t="str">
        <f>"931231CNY01"</f>
        <v>931231CNY01</v>
      </c>
      <c r="B538" t="s">
        <v>4</v>
      </c>
      <c r="C538">
        <v>62</v>
      </c>
    </row>
    <row r="539" spans="1:3">
      <c r="A539" t="str">
        <f>"931231CNY02"</f>
        <v>931231CNY02</v>
      </c>
      <c r="B539" t="s">
        <v>4</v>
      </c>
      <c r="C539">
        <v>62</v>
      </c>
    </row>
    <row r="540" spans="1:3">
      <c r="A540" t="str">
        <f>"931232"</f>
        <v>931232</v>
      </c>
      <c r="B540" t="s">
        <v>4</v>
      </c>
      <c r="C540">
        <v>62</v>
      </c>
    </row>
    <row r="541" spans="1:3">
      <c r="A541" t="str">
        <f>"931233"</f>
        <v>931233</v>
      </c>
      <c r="B541" t="s">
        <v>4</v>
      </c>
      <c r="C541">
        <v>62</v>
      </c>
    </row>
    <row r="542" spans="1:3">
      <c r="A542" t="str">
        <f>"931233CNY100"</f>
        <v>931233CNY100</v>
      </c>
      <c r="B542" t="s">
        <v>4</v>
      </c>
      <c r="C542">
        <v>62</v>
      </c>
    </row>
    <row r="543" spans="1:3">
      <c r="A543" t="str">
        <f>"931233CNY110"</f>
        <v>931233CNY110</v>
      </c>
      <c r="B543" t="s">
        <v>4</v>
      </c>
      <c r="C543">
        <v>62</v>
      </c>
    </row>
    <row r="544" spans="1:3">
      <c r="A544" t="str">
        <f>"931233HKD210"</f>
        <v>931233HKD210</v>
      </c>
      <c r="B544" t="s">
        <v>4</v>
      </c>
      <c r="C544">
        <v>62</v>
      </c>
    </row>
    <row r="545" spans="1:3">
      <c r="A545" t="str">
        <f>"931234"</f>
        <v>931234</v>
      </c>
      <c r="B545" t="s">
        <v>4</v>
      </c>
      <c r="C545">
        <v>62</v>
      </c>
    </row>
    <row r="546" spans="1:3">
      <c r="A546" t="str">
        <f>"931235"</f>
        <v>931235</v>
      </c>
      <c r="B546" t="s">
        <v>4</v>
      </c>
      <c r="C546">
        <v>62</v>
      </c>
    </row>
    <row r="547" spans="1:3">
      <c r="A547" t="str">
        <f>"931236"</f>
        <v>931236</v>
      </c>
      <c r="B547" t="s">
        <v>4</v>
      </c>
      <c r="C547">
        <v>62</v>
      </c>
    </row>
    <row r="548" spans="1:3">
      <c r="A548" t="str">
        <f>"931237"</f>
        <v>931237</v>
      </c>
      <c r="B548" t="s">
        <v>4</v>
      </c>
      <c r="C548">
        <v>62</v>
      </c>
    </row>
    <row r="549" spans="1:3">
      <c r="A549" t="str">
        <f>"931238"</f>
        <v>931238</v>
      </c>
      <c r="B549" t="s">
        <v>4</v>
      </c>
      <c r="C549">
        <v>62</v>
      </c>
    </row>
    <row r="550" spans="1:3">
      <c r="A550" t="str">
        <f>"931239"</f>
        <v>931239</v>
      </c>
      <c r="B550" t="s">
        <v>4</v>
      </c>
      <c r="C550">
        <v>62</v>
      </c>
    </row>
    <row r="551" spans="1:3">
      <c r="A551" t="str">
        <f>"931240"</f>
        <v>931240</v>
      </c>
      <c r="B551" t="s">
        <v>4</v>
      </c>
      <c r="C551">
        <v>62</v>
      </c>
    </row>
    <row r="552" spans="1:3">
      <c r="A552" t="str">
        <f>"931241"</f>
        <v>931241</v>
      </c>
      <c r="B552" t="s">
        <v>4</v>
      </c>
      <c r="C552">
        <v>62</v>
      </c>
    </row>
    <row r="553" spans="1:3">
      <c r="A553" t="str">
        <f>"931243"</f>
        <v>931243</v>
      </c>
      <c r="B553" t="s">
        <v>4</v>
      </c>
      <c r="C553">
        <v>62</v>
      </c>
    </row>
    <row r="554" spans="1:3">
      <c r="A554" t="str">
        <f>"931244"</f>
        <v>931244</v>
      </c>
      <c r="B554" t="s">
        <v>4</v>
      </c>
      <c r="C554">
        <v>62</v>
      </c>
    </row>
    <row r="555" spans="1:3">
      <c r="A555" t="str">
        <f>"931246"</f>
        <v>931246</v>
      </c>
      <c r="B555" t="s">
        <v>4</v>
      </c>
      <c r="C555">
        <v>62</v>
      </c>
    </row>
    <row r="556" spans="1:3">
      <c r="A556" t="str">
        <f>"931247"</f>
        <v>931247</v>
      </c>
      <c r="B556" t="s">
        <v>4</v>
      </c>
      <c r="C556">
        <v>62</v>
      </c>
    </row>
    <row r="557" spans="1:3">
      <c r="A557" t="str">
        <f>"931248"</f>
        <v>931248</v>
      </c>
      <c r="B557" t="s">
        <v>4</v>
      </c>
      <c r="C557">
        <v>62</v>
      </c>
    </row>
    <row r="558" spans="1:3">
      <c r="A558" t="str">
        <f>"931250"</f>
        <v>931250</v>
      </c>
      <c r="B558" t="s">
        <v>4</v>
      </c>
      <c r="C558">
        <v>62</v>
      </c>
    </row>
    <row r="559" spans="1:3">
      <c r="A559" t="str">
        <f>"931253"</f>
        <v>931253</v>
      </c>
      <c r="B559" t="s">
        <v>4</v>
      </c>
      <c r="C559">
        <v>62</v>
      </c>
    </row>
    <row r="560" spans="1:3">
      <c r="A560" t="str">
        <f>"931254"</f>
        <v>931254</v>
      </c>
      <c r="B560" t="s">
        <v>4</v>
      </c>
      <c r="C560">
        <v>62</v>
      </c>
    </row>
    <row r="561" spans="1:3">
      <c r="A561" t="str">
        <f>"931255"</f>
        <v>931255</v>
      </c>
      <c r="B561" t="s">
        <v>4</v>
      </c>
      <c r="C561">
        <v>62</v>
      </c>
    </row>
    <row r="562" spans="1:3">
      <c r="A562" t="str">
        <f>"931257"</f>
        <v>931257</v>
      </c>
      <c r="B562" t="s">
        <v>4</v>
      </c>
      <c r="C562">
        <v>62</v>
      </c>
    </row>
    <row r="563" spans="1:3">
      <c r="A563" t="str">
        <f>"931258"</f>
        <v>931258</v>
      </c>
      <c r="B563" t="s">
        <v>4</v>
      </c>
      <c r="C563">
        <v>62</v>
      </c>
    </row>
    <row r="564" spans="1:3">
      <c r="A564" t="str">
        <f>"931259"</f>
        <v>931259</v>
      </c>
      <c r="B564" t="s">
        <v>4</v>
      </c>
      <c r="C564">
        <v>62</v>
      </c>
    </row>
    <row r="565" spans="1:3">
      <c r="A565" t="str">
        <f>"931260"</f>
        <v>931260</v>
      </c>
      <c r="B565" t="s">
        <v>4</v>
      </c>
      <c r="C565">
        <v>62</v>
      </c>
    </row>
    <row r="566" spans="1:3">
      <c r="A566" t="str">
        <f>"931265"</f>
        <v>931265</v>
      </c>
      <c r="B566" t="s">
        <v>4</v>
      </c>
      <c r="C566">
        <v>62</v>
      </c>
    </row>
    <row r="567" spans="1:3">
      <c r="A567" t="str">
        <f>"931266"</f>
        <v>931266</v>
      </c>
      <c r="B567" t="s">
        <v>4</v>
      </c>
      <c r="C567">
        <v>62</v>
      </c>
    </row>
    <row r="568" spans="1:3">
      <c r="A568" t="str">
        <f>"931267"</f>
        <v>931267</v>
      </c>
      <c r="B568" t="s">
        <v>4</v>
      </c>
      <c r="C568">
        <v>62</v>
      </c>
    </row>
    <row r="569" spans="1:3">
      <c r="A569" t="str">
        <f>"931268"</f>
        <v>931268</v>
      </c>
      <c r="B569" t="s">
        <v>4</v>
      </c>
      <c r="C569">
        <v>62</v>
      </c>
    </row>
    <row r="570" spans="1:3">
      <c r="A570" t="str">
        <f>"931271"</f>
        <v>931271</v>
      </c>
      <c r="B570" t="s">
        <v>4</v>
      </c>
      <c r="C570">
        <v>62</v>
      </c>
    </row>
    <row r="571" spans="1:3">
      <c r="A571" t="str">
        <f>"931273"</f>
        <v>931273</v>
      </c>
      <c r="B571" t="s">
        <v>4</v>
      </c>
      <c r="C571">
        <v>62</v>
      </c>
    </row>
    <row r="572" spans="1:3">
      <c r="A572" t="str">
        <f>"931274"</f>
        <v>931274</v>
      </c>
      <c r="B572" t="s">
        <v>4</v>
      </c>
      <c r="C572">
        <v>62</v>
      </c>
    </row>
    <row r="573" spans="1:3">
      <c r="A573" t="str">
        <f>"931275"</f>
        <v>931275</v>
      </c>
      <c r="B573" t="s">
        <v>4</v>
      </c>
      <c r="C573">
        <v>62</v>
      </c>
    </row>
    <row r="574" spans="1:3">
      <c r="A574" t="str">
        <f>"931276"</f>
        <v>931276</v>
      </c>
      <c r="B574" t="s">
        <v>4</v>
      </c>
      <c r="C574">
        <v>62</v>
      </c>
    </row>
    <row r="575" spans="1:3">
      <c r="A575" t="str">
        <f>"931277"</f>
        <v>931277</v>
      </c>
      <c r="B575" t="s">
        <v>4</v>
      </c>
      <c r="C575">
        <v>62</v>
      </c>
    </row>
    <row r="576" spans="1:3">
      <c r="A576" t="str">
        <f>"931278"</f>
        <v>931278</v>
      </c>
      <c r="B576" t="s">
        <v>4</v>
      </c>
      <c r="C576">
        <v>62</v>
      </c>
    </row>
    <row r="577" spans="1:3">
      <c r="A577" t="str">
        <f>"931279"</f>
        <v>931279</v>
      </c>
      <c r="B577" t="s">
        <v>4</v>
      </c>
      <c r="C577">
        <v>62</v>
      </c>
    </row>
    <row r="578" spans="1:3">
      <c r="A578" t="str">
        <f>"931280"</f>
        <v>931280</v>
      </c>
      <c r="B578" t="s">
        <v>4</v>
      </c>
      <c r="C578">
        <v>62</v>
      </c>
    </row>
    <row r="579" spans="1:3">
      <c r="A579" t="str">
        <f>"931281"</f>
        <v>931281</v>
      </c>
      <c r="B579" t="s">
        <v>4</v>
      </c>
      <c r="C579">
        <v>62</v>
      </c>
    </row>
    <row r="580" spans="1:3">
      <c r="A580" t="str">
        <f>"931282"</f>
        <v>931282</v>
      </c>
      <c r="B580" t="s">
        <v>4</v>
      </c>
      <c r="C580">
        <v>62</v>
      </c>
    </row>
    <row r="581" spans="1:3">
      <c r="A581" t="str">
        <f>"931283"</f>
        <v>931283</v>
      </c>
      <c r="B581" t="s">
        <v>4</v>
      </c>
      <c r="C581">
        <v>62</v>
      </c>
    </row>
    <row r="582" spans="1:3">
      <c r="A582" t="str">
        <f>"931284"</f>
        <v>931284</v>
      </c>
      <c r="B582" t="s">
        <v>4</v>
      </c>
      <c r="C582">
        <v>62</v>
      </c>
    </row>
    <row r="583" spans="1:3">
      <c r="A583" t="str">
        <f>"931285"</f>
        <v>931285</v>
      </c>
      <c r="B583" t="s">
        <v>4</v>
      </c>
      <c r="C583">
        <v>62</v>
      </c>
    </row>
    <row r="584" spans="1:3">
      <c r="A584" t="str">
        <f>"931286"</f>
        <v>931286</v>
      </c>
      <c r="B584" t="s">
        <v>4</v>
      </c>
      <c r="C584">
        <v>62</v>
      </c>
    </row>
    <row r="585" spans="1:3">
      <c r="A585" t="str">
        <f>"931287"</f>
        <v>931287</v>
      </c>
      <c r="B585" t="s">
        <v>4</v>
      </c>
      <c r="C585">
        <v>62</v>
      </c>
    </row>
    <row r="586" spans="1:3">
      <c r="A586" t="str">
        <f>"931288"</f>
        <v>931288</v>
      </c>
      <c r="B586" t="s">
        <v>4</v>
      </c>
      <c r="C586">
        <v>62</v>
      </c>
    </row>
    <row r="587" spans="1:3">
      <c r="A587" t="str">
        <f>"931289"</f>
        <v>931289</v>
      </c>
      <c r="B587" t="s">
        <v>4</v>
      </c>
      <c r="C587">
        <v>62</v>
      </c>
    </row>
    <row r="588" spans="1:3">
      <c r="A588" t="str">
        <f>"931290"</f>
        <v>931290</v>
      </c>
      <c r="B588" t="s">
        <v>4</v>
      </c>
      <c r="C588">
        <v>62</v>
      </c>
    </row>
    <row r="589" spans="1:3">
      <c r="A589" t="str">
        <f>"931291"</f>
        <v>931291</v>
      </c>
      <c r="B589" t="s">
        <v>4</v>
      </c>
      <c r="C589">
        <v>62</v>
      </c>
    </row>
    <row r="590" spans="1:3">
      <c r="A590" t="str">
        <f>"931292"</f>
        <v>931292</v>
      </c>
      <c r="B590" t="s">
        <v>4</v>
      </c>
      <c r="C590">
        <v>62</v>
      </c>
    </row>
    <row r="591" spans="1:3">
      <c r="A591" t="str">
        <f>"931293"</f>
        <v>931293</v>
      </c>
      <c r="B591" t="s">
        <v>4</v>
      </c>
      <c r="C591">
        <v>62</v>
      </c>
    </row>
    <row r="592" spans="1:3">
      <c r="A592" t="str">
        <f>"931294"</f>
        <v>931294</v>
      </c>
      <c r="B592" t="s">
        <v>4</v>
      </c>
      <c r="C592">
        <v>62</v>
      </c>
    </row>
    <row r="593" spans="1:3">
      <c r="A593" t="str">
        <f>"931295"</f>
        <v>931295</v>
      </c>
      <c r="B593" t="s">
        <v>4</v>
      </c>
      <c r="C593">
        <v>62</v>
      </c>
    </row>
    <row r="594" spans="1:3">
      <c r="A594" t="str">
        <f>"931296"</f>
        <v>931296</v>
      </c>
      <c r="B594" t="s">
        <v>4</v>
      </c>
      <c r="C594">
        <v>62</v>
      </c>
    </row>
    <row r="595" spans="1:3">
      <c r="A595" t="str">
        <f>"931297"</f>
        <v>931297</v>
      </c>
      <c r="B595" t="s">
        <v>4</v>
      </c>
      <c r="C595">
        <v>62</v>
      </c>
    </row>
    <row r="596" spans="1:3">
      <c r="A596" t="str">
        <f>"931298"</f>
        <v>931298</v>
      </c>
      <c r="B596" t="s">
        <v>4</v>
      </c>
      <c r="C596">
        <v>62</v>
      </c>
    </row>
    <row r="597" spans="1:3">
      <c r="A597" t="str">
        <f>"931299"</f>
        <v>931299</v>
      </c>
      <c r="B597" t="s">
        <v>4</v>
      </c>
      <c r="C597">
        <v>62</v>
      </c>
    </row>
    <row r="598" spans="1:3">
      <c r="A598" t="str">
        <f>"931300"</f>
        <v>931300</v>
      </c>
      <c r="B598" t="s">
        <v>4</v>
      </c>
      <c r="C598">
        <v>62</v>
      </c>
    </row>
    <row r="599" spans="1:3">
      <c r="A599" t="str">
        <f>"931301"</f>
        <v>931301</v>
      </c>
      <c r="B599" t="s">
        <v>4</v>
      </c>
      <c r="C599">
        <v>62</v>
      </c>
    </row>
    <row r="600" spans="1:3">
      <c r="A600" t="str">
        <f>"931302"</f>
        <v>931302</v>
      </c>
      <c r="B600" t="s">
        <v>4</v>
      </c>
      <c r="C600">
        <v>62</v>
      </c>
    </row>
    <row r="601" spans="1:3">
      <c r="A601" t="str">
        <f>"931303"</f>
        <v>931303</v>
      </c>
      <c r="B601" t="s">
        <v>4</v>
      </c>
      <c r="C601">
        <v>62</v>
      </c>
    </row>
    <row r="602" spans="1:3">
      <c r="A602" t="str">
        <f>"931304"</f>
        <v>931304</v>
      </c>
      <c r="B602" t="s">
        <v>4</v>
      </c>
      <c r="C602">
        <v>62</v>
      </c>
    </row>
    <row r="603" spans="1:3">
      <c r="A603" t="str">
        <f>"931305"</f>
        <v>931305</v>
      </c>
      <c r="B603" t="s">
        <v>4</v>
      </c>
      <c r="C603">
        <v>62</v>
      </c>
    </row>
    <row r="604" spans="1:3">
      <c r="A604" t="str">
        <f>"931306"</f>
        <v>931306</v>
      </c>
      <c r="B604" t="s">
        <v>4</v>
      </c>
      <c r="C604">
        <v>62</v>
      </c>
    </row>
    <row r="605" spans="1:3">
      <c r="A605" t="str">
        <f>"931307"</f>
        <v>931307</v>
      </c>
      <c r="B605" t="s">
        <v>4</v>
      </c>
      <c r="C605">
        <v>62</v>
      </c>
    </row>
    <row r="606" spans="1:3">
      <c r="A606" t="str">
        <f>"931308"</f>
        <v>931308</v>
      </c>
      <c r="B606" t="s">
        <v>4</v>
      </c>
      <c r="C606">
        <v>62</v>
      </c>
    </row>
    <row r="607" spans="1:3">
      <c r="A607" t="str">
        <f>"931309"</f>
        <v>931309</v>
      </c>
      <c r="B607" t="s">
        <v>4</v>
      </c>
      <c r="C607">
        <v>62</v>
      </c>
    </row>
    <row r="608" spans="1:3">
      <c r="A608" t="str">
        <f>"931310"</f>
        <v>931310</v>
      </c>
      <c r="B608" t="s">
        <v>4</v>
      </c>
      <c r="C608">
        <v>62</v>
      </c>
    </row>
    <row r="609" spans="1:3">
      <c r="A609" t="str">
        <f>"931311"</f>
        <v>931311</v>
      </c>
      <c r="B609" t="s">
        <v>4</v>
      </c>
      <c r="C609">
        <v>62</v>
      </c>
    </row>
    <row r="610" spans="1:3">
      <c r="A610" t="str">
        <f>"931312"</f>
        <v>931312</v>
      </c>
      <c r="B610" t="s">
        <v>4</v>
      </c>
      <c r="C610">
        <v>62</v>
      </c>
    </row>
    <row r="611" spans="1:3">
      <c r="A611" t="str">
        <f>"931313"</f>
        <v>931313</v>
      </c>
      <c r="B611" t="s">
        <v>4</v>
      </c>
      <c r="C611">
        <v>62</v>
      </c>
    </row>
    <row r="612" spans="1:3">
      <c r="A612" t="str">
        <f>"931314"</f>
        <v>931314</v>
      </c>
      <c r="B612" t="s">
        <v>4</v>
      </c>
      <c r="C612">
        <v>62</v>
      </c>
    </row>
    <row r="613" spans="1:3">
      <c r="A613" t="str">
        <f>"931315"</f>
        <v>931315</v>
      </c>
      <c r="B613" t="s">
        <v>4</v>
      </c>
      <c r="C613">
        <v>62</v>
      </c>
    </row>
    <row r="614" spans="1:3">
      <c r="A614" t="str">
        <f>"931316"</f>
        <v>931316</v>
      </c>
      <c r="B614" t="s">
        <v>4</v>
      </c>
      <c r="C614">
        <v>62</v>
      </c>
    </row>
    <row r="615" spans="1:3">
      <c r="A615" t="str">
        <f>"931317"</f>
        <v>931317</v>
      </c>
      <c r="B615" t="s">
        <v>4</v>
      </c>
      <c r="C615">
        <v>62</v>
      </c>
    </row>
    <row r="616" spans="1:3">
      <c r="A616" t="str">
        <f>"931318"</f>
        <v>931318</v>
      </c>
      <c r="B616" t="s">
        <v>4</v>
      </c>
      <c r="C616">
        <v>62</v>
      </c>
    </row>
    <row r="617" spans="1:3">
      <c r="A617" t="str">
        <f>"931319"</f>
        <v>931319</v>
      </c>
      <c r="B617" t="s">
        <v>4</v>
      </c>
      <c r="C617">
        <v>62</v>
      </c>
    </row>
    <row r="618" spans="1:3">
      <c r="A618" t="str">
        <f>"931320"</f>
        <v>931320</v>
      </c>
      <c r="B618" t="s">
        <v>4</v>
      </c>
      <c r="C618">
        <v>62</v>
      </c>
    </row>
    <row r="619" spans="1:3">
      <c r="A619" t="str">
        <f>"931321"</f>
        <v>931321</v>
      </c>
      <c r="B619" t="s">
        <v>4</v>
      </c>
      <c r="C619">
        <v>62</v>
      </c>
    </row>
    <row r="620" spans="1:3">
      <c r="A620" t="str">
        <f>"931322"</f>
        <v>931322</v>
      </c>
      <c r="B620" t="s">
        <v>4</v>
      </c>
      <c r="C620">
        <v>62</v>
      </c>
    </row>
    <row r="621" spans="1:3">
      <c r="A621" t="str">
        <f>"931323"</f>
        <v>931323</v>
      </c>
      <c r="B621" t="s">
        <v>4</v>
      </c>
      <c r="C621">
        <v>62</v>
      </c>
    </row>
    <row r="622" spans="1:3">
      <c r="A622" t="str">
        <f>"931324"</f>
        <v>931324</v>
      </c>
      <c r="B622" t="s">
        <v>4</v>
      </c>
      <c r="C622">
        <v>62</v>
      </c>
    </row>
    <row r="623" spans="1:3">
      <c r="A623" t="str">
        <f>"931325"</f>
        <v>931325</v>
      </c>
      <c r="B623" t="s">
        <v>4</v>
      </c>
      <c r="C623">
        <v>62</v>
      </c>
    </row>
    <row r="624" spans="1:3">
      <c r="A624" t="str">
        <f>"931326"</f>
        <v>931326</v>
      </c>
      <c r="B624" t="s">
        <v>4</v>
      </c>
      <c r="C624">
        <v>62</v>
      </c>
    </row>
    <row r="625" spans="1:3">
      <c r="A625" t="str">
        <f>"931327"</f>
        <v>931327</v>
      </c>
      <c r="B625" t="s">
        <v>4</v>
      </c>
      <c r="C625">
        <v>62</v>
      </c>
    </row>
    <row r="626" spans="1:3">
      <c r="A626" t="str">
        <f>"931328"</f>
        <v>931328</v>
      </c>
      <c r="B626" t="s">
        <v>4</v>
      </c>
      <c r="C626">
        <v>62</v>
      </c>
    </row>
    <row r="627" spans="1:3">
      <c r="A627" t="str">
        <f>"931329"</f>
        <v>931329</v>
      </c>
      <c r="B627" t="s">
        <v>4</v>
      </c>
      <c r="C627">
        <v>62</v>
      </c>
    </row>
    <row r="628" spans="1:3">
      <c r="A628" t="str">
        <f>"931330"</f>
        <v>931330</v>
      </c>
      <c r="B628" t="s">
        <v>4</v>
      </c>
      <c r="C628">
        <v>62</v>
      </c>
    </row>
    <row r="629" spans="1:3">
      <c r="A629" t="str">
        <f>"931331"</f>
        <v>931331</v>
      </c>
      <c r="B629" t="s">
        <v>4</v>
      </c>
      <c r="C629">
        <v>62</v>
      </c>
    </row>
    <row r="630" spans="1:3">
      <c r="A630" t="str">
        <f>"931332"</f>
        <v>931332</v>
      </c>
      <c r="B630" t="s">
        <v>4</v>
      </c>
      <c r="C630">
        <v>62</v>
      </c>
    </row>
    <row r="631" spans="1:3">
      <c r="A631" t="str">
        <f>"931333"</f>
        <v>931333</v>
      </c>
      <c r="B631" t="s">
        <v>4</v>
      </c>
      <c r="C631">
        <v>62</v>
      </c>
    </row>
    <row r="632" spans="1:3">
      <c r="A632" t="str">
        <f>"931334"</f>
        <v>931334</v>
      </c>
      <c r="B632" t="s">
        <v>4</v>
      </c>
      <c r="C632">
        <v>62</v>
      </c>
    </row>
    <row r="633" spans="1:3">
      <c r="A633" t="str">
        <f>"931335"</f>
        <v>931335</v>
      </c>
      <c r="B633" t="s">
        <v>4</v>
      </c>
      <c r="C633">
        <v>62</v>
      </c>
    </row>
    <row r="634" spans="1:3">
      <c r="A634" t="str">
        <f>"931336"</f>
        <v>931336</v>
      </c>
      <c r="B634" t="s">
        <v>4</v>
      </c>
      <c r="C634">
        <v>62</v>
      </c>
    </row>
    <row r="635" spans="1:3">
      <c r="A635" t="str">
        <f>"931340"</f>
        <v>931340</v>
      </c>
      <c r="B635" t="s">
        <v>4</v>
      </c>
      <c r="C635">
        <v>62</v>
      </c>
    </row>
    <row r="636" spans="1:3">
      <c r="A636" t="str">
        <f>"931353"</f>
        <v>931353</v>
      </c>
      <c r="B636" t="s">
        <v>4</v>
      </c>
      <c r="C636">
        <v>62</v>
      </c>
    </row>
    <row r="637" spans="1:3">
      <c r="A637" t="str">
        <f>"931354"</f>
        <v>931354</v>
      </c>
      <c r="B637" t="s">
        <v>4</v>
      </c>
      <c r="C637">
        <v>62</v>
      </c>
    </row>
    <row r="638" spans="1:3">
      <c r="A638" t="str">
        <f>"931355"</f>
        <v>931355</v>
      </c>
      <c r="B638" t="s">
        <v>4</v>
      </c>
      <c r="C638">
        <v>62</v>
      </c>
    </row>
    <row r="639" spans="1:3">
      <c r="A639" t="str">
        <f>"931356"</f>
        <v>931356</v>
      </c>
      <c r="B639" t="s">
        <v>4</v>
      </c>
      <c r="C639">
        <v>62</v>
      </c>
    </row>
    <row r="640" spans="1:3">
      <c r="A640" t="str">
        <f>"931357"</f>
        <v>931357</v>
      </c>
      <c r="B640" t="s">
        <v>4</v>
      </c>
      <c r="C640">
        <v>62</v>
      </c>
    </row>
    <row r="641" spans="1:3">
      <c r="A641" t="str">
        <f>"931359"</f>
        <v>931359</v>
      </c>
      <c r="B641" t="s">
        <v>4</v>
      </c>
      <c r="C641">
        <v>62</v>
      </c>
    </row>
    <row r="642" spans="1:3">
      <c r="A642" t="str">
        <f>"931360"</f>
        <v>931360</v>
      </c>
      <c r="B642" t="s">
        <v>4</v>
      </c>
      <c r="C642">
        <v>62</v>
      </c>
    </row>
    <row r="643" spans="1:3">
      <c r="A643" t="str">
        <f>"931361"</f>
        <v>931361</v>
      </c>
      <c r="B643" t="s">
        <v>4</v>
      </c>
      <c r="C643">
        <v>62</v>
      </c>
    </row>
    <row r="644" spans="1:3">
      <c r="A644" t="str">
        <f>"931362"</f>
        <v>931362</v>
      </c>
      <c r="B644" t="s">
        <v>4</v>
      </c>
      <c r="C644">
        <v>62</v>
      </c>
    </row>
    <row r="645" spans="1:3">
      <c r="A645" t="str">
        <f>"931363"</f>
        <v>931363</v>
      </c>
      <c r="B645" t="s">
        <v>4</v>
      </c>
      <c r="C645">
        <v>62</v>
      </c>
    </row>
    <row r="646" spans="1:3">
      <c r="A646" t="str">
        <f>"931365"</f>
        <v>931365</v>
      </c>
      <c r="B646" t="s">
        <v>4</v>
      </c>
      <c r="C646">
        <v>62</v>
      </c>
    </row>
    <row r="647" spans="1:3">
      <c r="A647" t="str">
        <f>"931366"</f>
        <v>931366</v>
      </c>
      <c r="B647" t="s">
        <v>4</v>
      </c>
      <c r="C647">
        <v>62</v>
      </c>
    </row>
    <row r="648" spans="1:3">
      <c r="A648" t="str">
        <f>"931367"</f>
        <v>931367</v>
      </c>
      <c r="B648" t="s">
        <v>4</v>
      </c>
      <c r="C648">
        <v>62</v>
      </c>
    </row>
    <row r="649" spans="1:3">
      <c r="A649" t="str">
        <f>"931368"</f>
        <v>931368</v>
      </c>
      <c r="B649" t="s">
        <v>4</v>
      </c>
      <c r="C649">
        <v>62</v>
      </c>
    </row>
    <row r="650" spans="1:3">
      <c r="A650" t="str">
        <f>"931369"</f>
        <v>931369</v>
      </c>
      <c r="B650" t="s">
        <v>4</v>
      </c>
      <c r="C650">
        <v>62</v>
      </c>
    </row>
    <row r="651" spans="1:3">
      <c r="A651" t="str">
        <f>"931370"</f>
        <v>931370</v>
      </c>
      <c r="B651" t="s">
        <v>4</v>
      </c>
      <c r="C651">
        <v>62</v>
      </c>
    </row>
    <row r="652" spans="1:3">
      <c r="A652" t="str">
        <f>"931371"</f>
        <v>931371</v>
      </c>
      <c r="B652" t="s">
        <v>4</v>
      </c>
      <c r="C652">
        <v>62</v>
      </c>
    </row>
    <row r="653" spans="1:3">
      <c r="A653" t="str">
        <f>"931372"</f>
        <v>931372</v>
      </c>
      <c r="B653" t="s">
        <v>4</v>
      </c>
      <c r="C653">
        <v>62</v>
      </c>
    </row>
    <row r="654" spans="1:3">
      <c r="A654" t="str">
        <f>"931373"</f>
        <v>931373</v>
      </c>
      <c r="B654" t="s">
        <v>4</v>
      </c>
      <c r="C654">
        <v>62</v>
      </c>
    </row>
    <row r="655" spans="1:3">
      <c r="A655" t="str">
        <f>"931375"</f>
        <v>931375</v>
      </c>
      <c r="B655" t="s">
        <v>4</v>
      </c>
      <c r="C655">
        <v>62</v>
      </c>
    </row>
    <row r="656" spans="1:3">
      <c r="A656" t="str">
        <f>"931376"</f>
        <v>931376</v>
      </c>
      <c r="B656" t="s">
        <v>4</v>
      </c>
      <c r="C656">
        <v>62</v>
      </c>
    </row>
    <row r="657" spans="1:3">
      <c r="A657" t="str">
        <f>"931377"</f>
        <v>931377</v>
      </c>
      <c r="B657" t="s">
        <v>4</v>
      </c>
      <c r="C657">
        <v>62</v>
      </c>
    </row>
    <row r="658" spans="1:3">
      <c r="A658" t="str">
        <f>"931380"</f>
        <v>931380</v>
      </c>
      <c r="B658" t="s">
        <v>4</v>
      </c>
      <c r="C658">
        <v>62</v>
      </c>
    </row>
    <row r="659" spans="1:3">
      <c r="A659" t="str">
        <f>"931381"</f>
        <v>931381</v>
      </c>
      <c r="B659" t="s">
        <v>4</v>
      </c>
      <c r="C659">
        <v>62</v>
      </c>
    </row>
    <row r="660" spans="1:3">
      <c r="A660" t="str">
        <f>"931382"</f>
        <v>931382</v>
      </c>
      <c r="B660" t="s">
        <v>4</v>
      </c>
      <c r="C660">
        <v>62</v>
      </c>
    </row>
    <row r="661" spans="1:3">
      <c r="A661" t="str">
        <f>"931383"</f>
        <v>931383</v>
      </c>
      <c r="B661" t="s">
        <v>4</v>
      </c>
      <c r="C661">
        <v>62</v>
      </c>
    </row>
    <row r="662" spans="1:3">
      <c r="A662" t="str">
        <f>"931388"</f>
        <v>931388</v>
      </c>
      <c r="B662" t="s">
        <v>4</v>
      </c>
      <c r="C662">
        <v>62</v>
      </c>
    </row>
    <row r="663" spans="1:3">
      <c r="A663" t="str">
        <f>"931392"</f>
        <v>931392</v>
      </c>
      <c r="B663" t="s">
        <v>4</v>
      </c>
      <c r="C663">
        <v>62</v>
      </c>
    </row>
    <row r="664" spans="1:3">
      <c r="A664" t="str">
        <f>"931393"</f>
        <v>931393</v>
      </c>
      <c r="B664" t="s">
        <v>4</v>
      </c>
      <c r="C664">
        <v>62</v>
      </c>
    </row>
    <row r="665" spans="1:3">
      <c r="A665" t="str">
        <f>"931394"</f>
        <v>931394</v>
      </c>
      <c r="B665" t="s">
        <v>4</v>
      </c>
      <c r="C665">
        <v>62</v>
      </c>
    </row>
    <row r="666" spans="1:3">
      <c r="A666" t="str">
        <f>"931395"</f>
        <v>931395</v>
      </c>
      <c r="B666" t="s">
        <v>4</v>
      </c>
      <c r="C666">
        <v>62</v>
      </c>
    </row>
    <row r="667" spans="1:3">
      <c r="A667" t="str">
        <f>"931397"</f>
        <v>931397</v>
      </c>
      <c r="B667" t="s">
        <v>4</v>
      </c>
      <c r="C667">
        <v>62</v>
      </c>
    </row>
    <row r="668" spans="1:3">
      <c r="A668" t="str">
        <f>"931398"</f>
        <v>931398</v>
      </c>
      <c r="B668" t="s">
        <v>4</v>
      </c>
      <c r="C668">
        <v>62</v>
      </c>
    </row>
    <row r="669" spans="1:3">
      <c r="A669" t="str">
        <f>"931402"</f>
        <v>931402</v>
      </c>
      <c r="B669" t="s">
        <v>4</v>
      </c>
      <c r="C669">
        <v>62</v>
      </c>
    </row>
    <row r="670" spans="1:3">
      <c r="A670" t="str">
        <f>"931403"</f>
        <v>931403</v>
      </c>
      <c r="B670" t="s">
        <v>4</v>
      </c>
      <c r="C670">
        <v>62</v>
      </c>
    </row>
    <row r="671" spans="1:3">
      <c r="A671" t="str">
        <f>"931404"</f>
        <v>931404</v>
      </c>
      <c r="B671" t="s">
        <v>4</v>
      </c>
      <c r="C671">
        <v>62</v>
      </c>
    </row>
    <row r="672" spans="1:3">
      <c r="A672" t="str">
        <f>"931406"</f>
        <v>931406</v>
      </c>
      <c r="B672" t="s">
        <v>4</v>
      </c>
      <c r="C672">
        <v>62</v>
      </c>
    </row>
    <row r="673" spans="1:3">
      <c r="A673" t="str">
        <f>"931409"</f>
        <v>931409</v>
      </c>
      <c r="B673" t="s">
        <v>4</v>
      </c>
      <c r="C673">
        <v>62</v>
      </c>
    </row>
    <row r="674" spans="1:3">
      <c r="A674" t="str">
        <f>"931411"</f>
        <v>931411</v>
      </c>
      <c r="B674" t="s">
        <v>4</v>
      </c>
      <c r="C674">
        <v>62</v>
      </c>
    </row>
    <row r="675" spans="1:3">
      <c r="A675" t="str">
        <f>"931412"</f>
        <v>931412</v>
      </c>
      <c r="B675" t="s">
        <v>4</v>
      </c>
      <c r="C675">
        <v>62</v>
      </c>
    </row>
    <row r="676" spans="1:3">
      <c r="A676" t="str">
        <f>"931414"</f>
        <v>931414</v>
      </c>
      <c r="B676" t="s">
        <v>4</v>
      </c>
      <c r="C676">
        <v>62</v>
      </c>
    </row>
    <row r="677" spans="1:3">
      <c r="A677" t="str">
        <f>"931415"</f>
        <v>931415</v>
      </c>
      <c r="B677" t="s">
        <v>4</v>
      </c>
      <c r="C677">
        <v>62</v>
      </c>
    </row>
    <row r="678" spans="1:3">
      <c r="A678" t="str">
        <f>"931416"</f>
        <v>931416</v>
      </c>
      <c r="B678" t="s">
        <v>4</v>
      </c>
      <c r="C678">
        <v>62</v>
      </c>
    </row>
    <row r="679" spans="1:3">
      <c r="A679" t="str">
        <f>"931417"</f>
        <v>931417</v>
      </c>
      <c r="B679" t="s">
        <v>4</v>
      </c>
      <c r="C679">
        <v>62</v>
      </c>
    </row>
    <row r="680" spans="1:3">
      <c r="A680" t="str">
        <f>"931418"</f>
        <v>931418</v>
      </c>
      <c r="B680" t="s">
        <v>4</v>
      </c>
      <c r="C680">
        <v>62</v>
      </c>
    </row>
    <row r="681" spans="1:3">
      <c r="A681" t="str">
        <f>"931419"</f>
        <v>931419</v>
      </c>
      <c r="B681" t="s">
        <v>4</v>
      </c>
      <c r="C681">
        <v>62</v>
      </c>
    </row>
    <row r="682" spans="1:3">
      <c r="A682" t="str">
        <f>"931420"</f>
        <v>931420</v>
      </c>
      <c r="B682" t="s">
        <v>4</v>
      </c>
      <c r="C682">
        <v>62</v>
      </c>
    </row>
    <row r="683" spans="1:3">
      <c r="A683" t="str">
        <f>"931421"</f>
        <v>931421</v>
      </c>
      <c r="B683" t="s">
        <v>4</v>
      </c>
      <c r="C683">
        <v>62</v>
      </c>
    </row>
    <row r="684" spans="1:3">
      <c r="A684" t="str">
        <f>"931422"</f>
        <v>931422</v>
      </c>
      <c r="B684" t="s">
        <v>4</v>
      </c>
      <c r="C684">
        <v>62</v>
      </c>
    </row>
    <row r="685" spans="1:3">
      <c r="A685" t="str">
        <f>"931423"</f>
        <v>931423</v>
      </c>
      <c r="B685" t="s">
        <v>4</v>
      </c>
      <c r="C685">
        <v>62</v>
      </c>
    </row>
    <row r="686" spans="1:3">
      <c r="A686" t="str">
        <f>"931424"</f>
        <v>931424</v>
      </c>
      <c r="B686" t="s">
        <v>4</v>
      </c>
      <c r="C686">
        <v>62</v>
      </c>
    </row>
    <row r="687" spans="1:3">
      <c r="A687" t="str">
        <f>"931425"</f>
        <v>931425</v>
      </c>
      <c r="B687" t="s">
        <v>4</v>
      </c>
      <c r="C687">
        <v>62</v>
      </c>
    </row>
    <row r="688" spans="1:3">
      <c r="A688" t="str">
        <f>"931426"</f>
        <v>931426</v>
      </c>
      <c r="B688" t="s">
        <v>4</v>
      </c>
      <c r="C688">
        <v>62</v>
      </c>
    </row>
    <row r="689" spans="1:3">
      <c r="A689" t="str">
        <f>"931427"</f>
        <v>931427</v>
      </c>
      <c r="B689" t="s">
        <v>4</v>
      </c>
      <c r="C689">
        <v>62</v>
      </c>
    </row>
    <row r="690" spans="1:3">
      <c r="A690" t="str">
        <f>"931428"</f>
        <v>931428</v>
      </c>
      <c r="B690" t="s">
        <v>4</v>
      </c>
      <c r="C690">
        <v>62</v>
      </c>
    </row>
    <row r="691" spans="1:3">
      <c r="A691" t="str">
        <f>"931429"</f>
        <v>931429</v>
      </c>
      <c r="B691" t="s">
        <v>4</v>
      </c>
      <c r="C691">
        <v>62</v>
      </c>
    </row>
    <row r="692" spans="1:3">
      <c r="A692" t="str">
        <f>"931430"</f>
        <v>931430</v>
      </c>
      <c r="B692" t="s">
        <v>4</v>
      </c>
      <c r="C692">
        <v>62</v>
      </c>
    </row>
    <row r="693" spans="1:3">
      <c r="A693" t="str">
        <f>"931431"</f>
        <v>931431</v>
      </c>
      <c r="B693" t="s">
        <v>4</v>
      </c>
      <c r="C693">
        <v>62</v>
      </c>
    </row>
    <row r="694" spans="1:3">
      <c r="A694" t="str">
        <f>"931432"</f>
        <v>931432</v>
      </c>
      <c r="B694" t="s">
        <v>4</v>
      </c>
      <c r="C694">
        <v>62</v>
      </c>
    </row>
    <row r="695" spans="1:3">
      <c r="A695" t="str">
        <f>"931433"</f>
        <v>931433</v>
      </c>
      <c r="B695" t="s">
        <v>4</v>
      </c>
      <c r="C695">
        <v>62</v>
      </c>
    </row>
    <row r="696" spans="1:3">
      <c r="A696" t="str">
        <f>"931434"</f>
        <v>931434</v>
      </c>
      <c r="B696" t="s">
        <v>4</v>
      </c>
      <c r="C696">
        <v>62</v>
      </c>
    </row>
    <row r="697" spans="1:3">
      <c r="A697" t="str">
        <f>"931435"</f>
        <v>931435</v>
      </c>
      <c r="B697" t="s">
        <v>4</v>
      </c>
      <c r="C697">
        <v>62</v>
      </c>
    </row>
    <row r="698" spans="1:3">
      <c r="A698" t="str">
        <f>"931436"</f>
        <v>931436</v>
      </c>
      <c r="B698" t="s">
        <v>4</v>
      </c>
      <c r="C698">
        <v>62</v>
      </c>
    </row>
    <row r="699" spans="1:3">
      <c r="A699" t="str">
        <f>"931437"</f>
        <v>931437</v>
      </c>
      <c r="B699" t="s">
        <v>4</v>
      </c>
      <c r="C699">
        <v>62</v>
      </c>
    </row>
    <row r="700" spans="1:3">
      <c r="A700" t="str">
        <f>"931438"</f>
        <v>931438</v>
      </c>
      <c r="B700" t="s">
        <v>4</v>
      </c>
      <c r="C700">
        <v>62</v>
      </c>
    </row>
    <row r="701" spans="1:3">
      <c r="A701" t="str">
        <f>"931439"</f>
        <v>931439</v>
      </c>
      <c r="B701" t="s">
        <v>4</v>
      </c>
      <c r="C701">
        <v>62</v>
      </c>
    </row>
    <row r="702" spans="1:3">
      <c r="A702" t="str">
        <f>"931440"</f>
        <v>931440</v>
      </c>
      <c r="B702" t="s">
        <v>4</v>
      </c>
      <c r="C702">
        <v>62</v>
      </c>
    </row>
    <row r="703" spans="1:3">
      <c r="A703" t="str">
        <f>"931441"</f>
        <v>931441</v>
      </c>
      <c r="B703" t="s">
        <v>4</v>
      </c>
      <c r="C703">
        <v>62</v>
      </c>
    </row>
    <row r="704" spans="1:3">
      <c r="A704" t="str">
        <f>"931442"</f>
        <v>931442</v>
      </c>
      <c r="B704" t="s">
        <v>4</v>
      </c>
      <c r="C704">
        <v>62</v>
      </c>
    </row>
    <row r="705" spans="1:3">
      <c r="A705" t="str">
        <f>"931446"</f>
        <v>931446</v>
      </c>
      <c r="B705" t="s">
        <v>4</v>
      </c>
      <c r="C705">
        <v>62</v>
      </c>
    </row>
    <row r="706" spans="1:3">
      <c r="A706" t="str">
        <f>"931447"</f>
        <v>931447</v>
      </c>
      <c r="B706" t="s">
        <v>4</v>
      </c>
      <c r="C706">
        <v>62</v>
      </c>
    </row>
    <row r="707" spans="1:3">
      <c r="A707" t="str">
        <f>"931448"</f>
        <v>931448</v>
      </c>
      <c r="B707" t="s">
        <v>4</v>
      </c>
      <c r="C707">
        <v>62</v>
      </c>
    </row>
    <row r="708" spans="1:3">
      <c r="A708" t="str">
        <f>"931450"</f>
        <v>931450</v>
      </c>
      <c r="B708" t="s">
        <v>4</v>
      </c>
      <c r="C708">
        <v>62</v>
      </c>
    </row>
    <row r="709" spans="1:3">
      <c r="A709" t="str">
        <f>"931451"</f>
        <v>931451</v>
      </c>
      <c r="B709" t="s">
        <v>4</v>
      </c>
      <c r="C709">
        <v>62</v>
      </c>
    </row>
    <row r="710" spans="1:3">
      <c r="A710" t="str">
        <f>"931454"</f>
        <v>931454</v>
      </c>
      <c r="B710" t="s">
        <v>4</v>
      </c>
      <c r="C710">
        <v>62</v>
      </c>
    </row>
    <row r="711" spans="1:3">
      <c r="A711" t="str">
        <f>"931455"</f>
        <v>931455</v>
      </c>
      <c r="B711" t="s">
        <v>4</v>
      </c>
      <c r="C711">
        <v>62</v>
      </c>
    </row>
    <row r="712" spans="1:3">
      <c r="A712" t="str">
        <f>"931456"</f>
        <v>931456</v>
      </c>
      <c r="B712" t="s">
        <v>4</v>
      </c>
      <c r="C712">
        <v>62</v>
      </c>
    </row>
    <row r="713" spans="1:3">
      <c r="A713" t="str">
        <f>"931461"</f>
        <v>931461</v>
      </c>
      <c r="B713" t="s">
        <v>4</v>
      </c>
      <c r="C713">
        <v>62</v>
      </c>
    </row>
    <row r="714" spans="1:3">
      <c r="A714" t="str">
        <f>"931463"</f>
        <v>931463</v>
      </c>
      <c r="B714" t="s">
        <v>4</v>
      </c>
      <c r="C714">
        <v>62</v>
      </c>
    </row>
    <row r="715" spans="1:3">
      <c r="A715" t="str">
        <f>"931465"</f>
        <v>931465</v>
      </c>
      <c r="B715" t="s">
        <v>4</v>
      </c>
      <c r="C715">
        <v>62</v>
      </c>
    </row>
    <row r="716" spans="1:3">
      <c r="A716" t="str">
        <f>"931467"</f>
        <v>931467</v>
      </c>
      <c r="B716" t="s">
        <v>4</v>
      </c>
      <c r="C716">
        <v>62</v>
      </c>
    </row>
    <row r="717" spans="1:3">
      <c r="A717" t="str">
        <f>"931468"</f>
        <v>931468</v>
      </c>
      <c r="B717" t="s">
        <v>4</v>
      </c>
      <c r="C717">
        <v>62</v>
      </c>
    </row>
    <row r="718" spans="1:3">
      <c r="A718" t="str">
        <f>"931469"</f>
        <v>931469</v>
      </c>
      <c r="B718" t="s">
        <v>4</v>
      </c>
      <c r="C718">
        <v>62</v>
      </c>
    </row>
    <row r="719" spans="1:3">
      <c r="A719" t="str">
        <f>"931470"</f>
        <v>931470</v>
      </c>
      <c r="B719" t="s">
        <v>4</v>
      </c>
      <c r="C719">
        <v>62</v>
      </c>
    </row>
    <row r="720" spans="1:3">
      <c r="A720" t="str">
        <f>"931472"</f>
        <v>931472</v>
      </c>
      <c r="B720" t="s">
        <v>4</v>
      </c>
      <c r="C720">
        <v>62</v>
      </c>
    </row>
    <row r="721" spans="1:3">
      <c r="A721" t="str">
        <f>"931473"</f>
        <v>931473</v>
      </c>
      <c r="B721" t="s">
        <v>4</v>
      </c>
      <c r="C721">
        <v>62</v>
      </c>
    </row>
    <row r="722" spans="1:3">
      <c r="A722" t="str">
        <f>"931476"</f>
        <v>931476</v>
      </c>
      <c r="B722" t="s">
        <v>4</v>
      </c>
      <c r="C722">
        <v>62</v>
      </c>
    </row>
    <row r="723" spans="1:3">
      <c r="A723" t="str">
        <f>"931477"</f>
        <v>931477</v>
      </c>
      <c r="B723" t="s">
        <v>4</v>
      </c>
      <c r="C723">
        <v>62</v>
      </c>
    </row>
    <row r="724" spans="1:3">
      <c r="A724" t="str">
        <f>"931478"</f>
        <v>931478</v>
      </c>
      <c r="B724" t="s">
        <v>4</v>
      </c>
      <c r="C724">
        <v>62</v>
      </c>
    </row>
    <row r="725" spans="1:3">
      <c r="A725" t="str">
        <f>"931479"</f>
        <v>931479</v>
      </c>
      <c r="B725" t="s">
        <v>4</v>
      </c>
      <c r="C725">
        <v>62</v>
      </c>
    </row>
    <row r="726" spans="1:3">
      <c r="A726" t="str">
        <f>"931480"</f>
        <v>931480</v>
      </c>
      <c r="B726" t="s">
        <v>4</v>
      </c>
      <c r="C726">
        <v>62</v>
      </c>
    </row>
    <row r="727" spans="1:3">
      <c r="A727" t="str">
        <f>"931481"</f>
        <v>931481</v>
      </c>
      <c r="B727" t="s">
        <v>4</v>
      </c>
      <c r="C727">
        <v>62</v>
      </c>
    </row>
    <row r="728" spans="1:3">
      <c r="A728" t="str">
        <f>"931483"</f>
        <v>931483</v>
      </c>
      <c r="B728" t="s">
        <v>4</v>
      </c>
      <c r="C728">
        <v>62</v>
      </c>
    </row>
    <row r="729" spans="1:3">
      <c r="A729" t="str">
        <f>"931484"</f>
        <v>931484</v>
      </c>
      <c r="B729" t="s">
        <v>4</v>
      </c>
      <c r="C729">
        <v>62</v>
      </c>
    </row>
    <row r="730" spans="1:3">
      <c r="A730" t="str">
        <f>"931487"</f>
        <v>931487</v>
      </c>
      <c r="B730" t="s">
        <v>4</v>
      </c>
      <c r="C730">
        <v>62</v>
      </c>
    </row>
    <row r="731" spans="1:3">
      <c r="A731" t="str">
        <f>"931489"</f>
        <v>931489</v>
      </c>
      <c r="B731" t="s">
        <v>4</v>
      </c>
      <c r="C731">
        <v>62</v>
      </c>
    </row>
    <row r="732" spans="1:3">
      <c r="A732" t="str">
        <f>"931490"</f>
        <v>931490</v>
      </c>
      <c r="B732" t="s">
        <v>4</v>
      </c>
      <c r="C732">
        <v>62</v>
      </c>
    </row>
    <row r="733" spans="1:3">
      <c r="A733" t="str">
        <f>"931491"</f>
        <v>931491</v>
      </c>
      <c r="B733" t="s">
        <v>4</v>
      </c>
      <c r="C733">
        <v>62</v>
      </c>
    </row>
    <row r="734" spans="1:3">
      <c r="A734" t="str">
        <f>"931494"</f>
        <v>931494</v>
      </c>
      <c r="B734" t="s">
        <v>4</v>
      </c>
      <c r="C734">
        <v>62</v>
      </c>
    </row>
    <row r="735" spans="1:3">
      <c r="A735" t="str">
        <f>"931495"</f>
        <v>931495</v>
      </c>
      <c r="B735" t="s">
        <v>4</v>
      </c>
      <c r="C735">
        <v>62</v>
      </c>
    </row>
    <row r="736" spans="1:3">
      <c r="A736" t="str">
        <f>"931499"</f>
        <v>931499</v>
      </c>
      <c r="B736" t="s">
        <v>4</v>
      </c>
      <c r="C736">
        <v>62</v>
      </c>
    </row>
    <row r="737" spans="1:3">
      <c r="A737" t="str">
        <f>"931500"</f>
        <v>931500</v>
      </c>
      <c r="B737" t="s">
        <v>4</v>
      </c>
      <c r="C737">
        <v>62</v>
      </c>
    </row>
    <row r="738" spans="1:3">
      <c r="A738" t="str">
        <f>"931501"</f>
        <v>931501</v>
      </c>
      <c r="B738" t="s">
        <v>4</v>
      </c>
      <c r="C738">
        <v>62</v>
      </c>
    </row>
    <row r="739" spans="1:3">
      <c r="A739" t="str">
        <f>"931502"</f>
        <v>931502</v>
      </c>
      <c r="B739" t="s">
        <v>4</v>
      </c>
      <c r="C739">
        <v>62</v>
      </c>
    </row>
    <row r="740" spans="1:3">
      <c r="A740" t="str">
        <f>"931503"</f>
        <v>931503</v>
      </c>
      <c r="B740" t="s">
        <v>4</v>
      </c>
      <c r="C740">
        <v>62</v>
      </c>
    </row>
    <row r="741" spans="1:3">
      <c r="A741" t="str">
        <f>"931504"</f>
        <v>931504</v>
      </c>
      <c r="B741" t="s">
        <v>4</v>
      </c>
      <c r="C741">
        <v>62</v>
      </c>
    </row>
    <row r="742" spans="1:3">
      <c r="A742" t="str">
        <f>"931505"</f>
        <v>931505</v>
      </c>
      <c r="B742" t="s">
        <v>4</v>
      </c>
      <c r="C742">
        <v>62</v>
      </c>
    </row>
    <row r="743" spans="1:3">
      <c r="A743" t="str">
        <f>"931506"</f>
        <v>931506</v>
      </c>
      <c r="B743" t="s">
        <v>4</v>
      </c>
      <c r="C743">
        <v>62</v>
      </c>
    </row>
    <row r="744" spans="1:3">
      <c r="A744" t="str">
        <f>"931508"</f>
        <v>931508</v>
      </c>
      <c r="B744" t="s">
        <v>4</v>
      </c>
      <c r="C744">
        <v>62</v>
      </c>
    </row>
    <row r="745" spans="1:3">
      <c r="A745" t="str">
        <f>"931509"</f>
        <v>931509</v>
      </c>
      <c r="B745" t="s">
        <v>4</v>
      </c>
      <c r="C745">
        <v>62</v>
      </c>
    </row>
    <row r="746" spans="1:3">
      <c r="A746" t="str">
        <f>"931510"</f>
        <v>931510</v>
      </c>
      <c r="B746" t="s">
        <v>4</v>
      </c>
      <c r="C746">
        <v>62</v>
      </c>
    </row>
    <row r="747" spans="1:3">
      <c r="A747" t="str">
        <f>"931511"</f>
        <v>931511</v>
      </c>
      <c r="B747" t="s">
        <v>4</v>
      </c>
      <c r="C747">
        <v>62</v>
      </c>
    </row>
    <row r="748" spans="1:3">
      <c r="A748" t="str">
        <f>"931512"</f>
        <v>931512</v>
      </c>
      <c r="B748" t="s">
        <v>4</v>
      </c>
      <c r="C748">
        <v>62</v>
      </c>
    </row>
    <row r="749" spans="1:3">
      <c r="A749" t="str">
        <f>"931513"</f>
        <v>931513</v>
      </c>
      <c r="B749" t="s">
        <v>4</v>
      </c>
      <c r="C749">
        <v>62</v>
      </c>
    </row>
    <row r="750" spans="1:3">
      <c r="A750" t="str">
        <f>"931514"</f>
        <v>931514</v>
      </c>
      <c r="B750" t="s">
        <v>4</v>
      </c>
      <c r="C750">
        <v>62</v>
      </c>
    </row>
    <row r="751" spans="1:3">
      <c r="A751" t="str">
        <f>"931515"</f>
        <v>931515</v>
      </c>
      <c r="B751" t="s">
        <v>4</v>
      </c>
      <c r="C751">
        <v>62</v>
      </c>
    </row>
    <row r="752" spans="1:3">
      <c r="A752" t="str">
        <f>"931516"</f>
        <v>931516</v>
      </c>
      <c r="B752" t="s">
        <v>4</v>
      </c>
      <c r="C752">
        <v>62</v>
      </c>
    </row>
    <row r="753" spans="1:3">
      <c r="A753" t="str">
        <f>"931517"</f>
        <v>931517</v>
      </c>
      <c r="B753" t="s">
        <v>4</v>
      </c>
      <c r="C753">
        <v>62</v>
      </c>
    </row>
    <row r="754" spans="1:3">
      <c r="A754" t="str">
        <f>"931518"</f>
        <v>931518</v>
      </c>
      <c r="B754" t="s">
        <v>4</v>
      </c>
      <c r="C754">
        <v>62</v>
      </c>
    </row>
    <row r="755" spans="1:3">
      <c r="A755" t="str">
        <f>"931519"</f>
        <v>931519</v>
      </c>
      <c r="B755" t="s">
        <v>4</v>
      </c>
      <c r="C755">
        <v>62</v>
      </c>
    </row>
    <row r="756" spans="1:3">
      <c r="A756" t="str">
        <f>"931521"</f>
        <v>931521</v>
      </c>
      <c r="B756" t="s">
        <v>4</v>
      </c>
      <c r="C756">
        <v>62</v>
      </c>
    </row>
    <row r="757" spans="1:3">
      <c r="A757" t="str">
        <f>"931522"</f>
        <v>931522</v>
      </c>
      <c r="B757" t="s">
        <v>4</v>
      </c>
      <c r="C757">
        <v>62</v>
      </c>
    </row>
    <row r="758" spans="1:3">
      <c r="A758" t="str">
        <f>"931523"</f>
        <v>931523</v>
      </c>
      <c r="B758" t="s">
        <v>4</v>
      </c>
      <c r="C758">
        <v>62</v>
      </c>
    </row>
    <row r="759" spans="1:3">
      <c r="A759" t="str">
        <f>"931524"</f>
        <v>931524</v>
      </c>
      <c r="B759" t="s">
        <v>4</v>
      </c>
      <c r="C759">
        <v>62</v>
      </c>
    </row>
    <row r="760" spans="1:3">
      <c r="A760" t="str">
        <f>"931526"</f>
        <v>931526</v>
      </c>
      <c r="B760" t="s">
        <v>4</v>
      </c>
      <c r="C760">
        <v>62</v>
      </c>
    </row>
    <row r="761" spans="1:3">
      <c r="A761" t="str">
        <f>"931528"</f>
        <v>931528</v>
      </c>
      <c r="B761" t="s">
        <v>4</v>
      </c>
      <c r="C761">
        <v>62</v>
      </c>
    </row>
    <row r="762" spans="1:3">
      <c r="A762" t="str">
        <f>"931529"</f>
        <v>931529</v>
      </c>
      <c r="B762" t="s">
        <v>4</v>
      </c>
      <c r="C762">
        <v>62</v>
      </c>
    </row>
    <row r="763" spans="1:3">
      <c r="A763" t="str">
        <f>"931552"</f>
        <v>931552</v>
      </c>
      <c r="B763" t="s">
        <v>4</v>
      </c>
      <c r="C763">
        <v>62</v>
      </c>
    </row>
    <row r="764" spans="1:3">
      <c r="A764" t="str">
        <f>"931553"</f>
        <v>931553</v>
      </c>
      <c r="B764" t="s">
        <v>4</v>
      </c>
      <c r="C764">
        <v>62</v>
      </c>
    </row>
    <row r="765" spans="1:3">
      <c r="A765" t="str">
        <f>"931554"</f>
        <v>931554</v>
      </c>
      <c r="B765" t="s">
        <v>4</v>
      </c>
      <c r="C765">
        <v>62</v>
      </c>
    </row>
    <row r="766" spans="1:3">
      <c r="A766" t="str">
        <f>"931555"</f>
        <v>931555</v>
      </c>
      <c r="B766" t="s">
        <v>4</v>
      </c>
      <c r="C766">
        <v>62</v>
      </c>
    </row>
    <row r="767" spans="1:3">
      <c r="A767" t="str">
        <f>"931557"</f>
        <v>931557</v>
      </c>
      <c r="B767" t="s">
        <v>4</v>
      </c>
      <c r="C767">
        <v>62</v>
      </c>
    </row>
    <row r="768" spans="1:3">
      <c r="A768" t="str">
        <f>"931558"</f>
        <v>931558</v>
      </c>
      <c r="B768" t="s">
        <v>4</v>
      </c>
      <c r="C768">
        <v>62</v>
      </c>
    </row>
    <row r="769" spans="1:3">
      <c r="A769" t="str">
        <f>"931559"</f>
        <v>931559</v>
      </c>
      <c r="B769" t="s">
        <v>4</v>
      </c>
      <c r="C769">
        <v>62</v>
      </c>
    </row>
    <row r="770" spans="1:3">
      <c r="A770" t="str">
        <f>"931566"</f>
        <v>931566</v>
      </c>
      <c r="B770" t="s">
        <v>4</v>
      </c>
      <c r="C770">
        <v>62</v>
      </c>
    </row>
    <row r="771" spans="1:3">
      <c r="A771" t="str">
        <f>"931567"</f>
        <v>931567</v>
      </c>
      <c r="B771" t="s">
        <v>4</v>
      </c>
      <c r="C771">
        <v>62</v>
      </c>
    </row>
    <row r="772" spans="1:3">
      <c r="A772" t="str">
        <f>"931568"</f>
        <v>931568</v>
      </c>
      <c r="B772" t="s">
        <v>4</v>
      </c>
      <c r="C772">
        <v>62</v>
      </c>
    </row>
    <row r="773" spans="1:3">
      <c r="A773" t="str">
        <f>"931569"</f>
        <v>931569</v>
      </c>
      <c r="B773" t="s">
        <v>4</v>
      </c>
      <c r="C773">
        <v>62</v>
      </c>
    </row>
    <row r="774" spans="1:3">
      <c r="A774" t="str">
        <f>"931570"</f>
        <v>931570</v>
      </c>
      <c r="B774" t="s">
        <v>4</v>
      </c>
      <c r="C774">
        <v>62</v>
      </c>
    </row>
    <row r="775" spans="1:3">
      <c r="A775" t="str">
        <f>"931571"</f>
        <v>931571</v>
      </c>
      <c r="B775" t="s">
        <v>4</v>
      </c>
      <c r="C775">
        <v>62</v>
      </c>
    </row>
    <row r="776" spans="1:3">
      <c r="A776" t="str">
        <f>"931572"</f>
        <v>931572</v>
      </c>
      <c r="B776" t="s">
        <v>4</v>
      </c>
      <c r="C776">
        <v>62</v>
      </c>
    </row>
    <row r="777" spans="1:3">
      <c r="A777" t="str">
        <f>"931573"</f>
        <v>931573</v>
      </c>
      <c r="B777" t="s">
        <v>4</v>
      </c>
      <c r="C777">
        <v>62</v>
      </c>
    </row>
    <row r="778" spans="1:3">
      <c r="A778" t="str">
        <f>"931574"</f>
        <v>931574</v>
      </c>
      <c r="B778" t="s">
        <v>4</v>
      </c>
      <c r="C778">
        <v>62</v>
      </c>
    </row>
    <row r="779" spans="1:3">
      <c r="A779" t="str">
        <f>"931575"</f>
        <v>931575</v>
      </c>
      <c r="B779" t="s">
        <v>4</v>
      </c>
      <c r="C779">
        <v>62</v>
      </c>
    </row>
    <row r="780" spans="1:3">
      <c r="A780" t="str">
        <f>"931576"</f>
        <v>931576</v>
      </c>
      <c r="B780" t="s">
        <v>4</v>
      </c>
      <c r="C780">
        <v>62</v>
      </c>
    </row>
    <row r="781" spans="1:3">
      <c r="A781" t="str">
        <f>"931577"</f>
        <v>931577</v>
      </c>
      <c r="B781" t="s">
        <v>4</v>
      </c>
      <c r="C781">
        <v>62</v>
      </c>
    </row>
    <row r="782" spans="1:3">
      <c r="A782" t="str">
        <f>"931578"</f>
        <v>931578</v>
      </c>
      <c r="B782" t="s">
        <v>4</v>
      </c>
      <c r="C782">
        <v>62</v>
      </c>
    </row>
    <row r="783" spans="1:3">
      <c r="A783" t="str">
        <f>"931579"</f>
        <v>931579</v>
      </c>
      <c r="B783" t="s">
        <v>4</v>
      </c>
      <c r="C783">
        <v>62</v>
      </c>
    </row>
    <row r="784" spans="1:3">
      <c r="A784" t="str">
        <f>"931580"</f>
        <v>931580</v>
      </c>
      <c r="B784" t="s">
        <v>4</v>
      </c>
      <c r="C784">
        <v>62</v>
      </c>
    </row>
    <row r="785" spans="1:3">
      <c r="A785" t="str">
        <f>"931581"</f>
        <v>931581</v>
      </c>
      <c r="B785" t="s">
        <v>4</v>
      </c>
      <c r="C785">
        <v>62</v>
      </c>
    </row>
    <row r="786" spans="1:3">
      <c r="A786" t="str">
        <f>"931582"</f>
        <v>931582</v>
      </c>
      <c r="B786" t="s">
        <v>4</v>
      </c>
      <c r="C786">
        <v>62</v>
      </c>
    </row>
    <row r="787" spans="1:3">
      <c r="A787" t="str">
        <f>"931583"</f>
        <v>931583</v>
      </c>
      <c r="B787" t="s">
        <v>4</v>
      </c>
      <c r="C787">
        <v>62</v>
      </c>
    </row>
    <row r="788" spans="1:3">
      <c r="A788" t="str">
        <f>"931585"</f>
        <v>931585</v>
      </c>
      <c r="B788" t="s">
        <v>4</v>
      </c>
      <c r="C788">
        <v>62</v>
      </c>
    </row>
    <row r="789" spans="1:3">
      <c r="A789" t="str">
        <f>"931586"</f>
        <v>931586</v>
      </c>
      <c r="B789" t="s">
        <v>4</v>
      </c>
      <c r="C789">
        <v>62</v>
      </c>
    </row>
    <row r="790" spans="1:3">
      <c r="A790" t="str">
        <f>"931587"</f>
        <v>931587</v>
      </c>
      <c r="B790" t="s">
        <v>4</v>
      </c>
      <c r="C790">
        <v>62</v>
      </c>
    </row>
    <row r="791" spans="1:3">
      <c r="A791" t="str">
        <f>"931588"</f>
        <v>931588</v>
      </c>
      <c r="B791" t="s">
        <v>4</v>
      </c>
      <c r="C791">
        <v>62</v>
      </c>
    </row>
    <row r="792" spans="1:3">
      <c r="A792" t="str">
        <f>"931589"</f>
        <v>931589</v>
      </c>
      <c r="B792" t="s">
        <v>4</v>
      </c>
      <c r="C792">
        <v>62</v>
      </c>
    </row>
    <row r="793" spans="1:3">
      <c r="A793" t="str">
        <f>"931590"</f>
        <v>931590</v>
      </c>
      <c r="B793" t="s">
        <v>4</v>
      </c>
      <c r="C793">
        <v>62</v>
      </c>
    </row>
    <row r="794" spans="1:3">
      <c r="A794" t="str">
        <f>"931591"</f>
        <v>931591</v>
      </c>
      <c r="B794" t="s">
        <v>4</v>
      </c>
      <c r="C794">
        <v>62</v>
      </c>
    </row>
    <row r="795" spans="1:3">
      <c r="A795" t="str">
        <f>"931592"</f>
        <v>931592</v>
      </c>
      <c r="B795" t="s">
        <v>4</v>
      </c>
      <c r="C795">
        <v>62</v>
      </c>
    </row>
    <row r="796" spans="1:3">
      <c r="A796" t="str">
        <f>"931593"</f>
        <v>931593</v>
      </c>
      <c r="B796" t="s">
        <v>4</v>
      </c>
      <c r="C796">
        <v>62</v>
      </c>
    </row>
    <row r="797" spans="1:3">
      <c r="A797" t="str">
        <f>"931594"</f>
        <v>931594</v>
      </c>
      <c r="B797" t="s">
        <v>4</v>
      </c>
      <c r="C797">
        <v>62</v>
      </c>
    </row>
    <row r="798" spans="1:3">
      <c r="A798" t="str">
        <f>"931595"</f>
        <v>931595</v>
      </c>
      <c r="B798" t="s">
        <v>4</v>
      </c>
      <c r="C798">
        <v>62</v>
      </c>
    </row>
    <row r="799" spans="1:3">
      <c r="A799" t="str">
        <f>"931596"</f>
        <v>931596</v>
      </c>
      <c r="B799" t="s">
        <v>4</v>
      </c>
      <c r="C799">
        <v>62</v>
      </c>
    </row>
    <row r="800" spans="1:3">
      <c r="A800" t="str">
        <f>"931598"</f>
        <v>931598</v>
      </c>
      <c r="B800" t="s">
        <v>4</v>
      </c>
      <c r="C800">
        <v>62</v>
      </c>
    </row>
    <row r="801" spans="1:3">
      <c r="A801" t="str">
        <f>"931599"</f>
        <v>931599</v>
      </c>
      <c r="B801" t="s">
        <v>4</v>
      </c>
      <c r="C801">
        <v>62</v>
      </c>
    </row>
    <row r="802" spans="1:3">
      <c r="A802" t="str">
        <f>"931600"</f>
        <v>931600</v>
      </c>
      <c r="B802" t="s">
        <v>4</v>
      </c>
      <c r="C802">
        <v>62</v>
      </c>
    </row>
    <row r="803" spans="1:3">
      <c r="A803" t="str">
        <f>"931601"</f>
        <v>931601</v>
      </c>
      <c r="B803" t="s">
        <v>4</v>
      </c>
      <c r="C803">
        <v>62</v>
      </c>
    </row>
    <row r="804" spans="1:3">
      <c r="A804" t="str">
        <f>"931602"</f>
        <v>931602</v>
      </c>
      <c r="B804" t="s">
        <v>4</v>
      </c>
      <c r="C804">
        <v>62</v>
      </c>
    </row>
    <row r="805" spans="1:3">
      <c r="A805" t="str">
        <f>"931603"</f>
        <v>931603</v>
      </c>
      <c r="B805" t="s">
        <v>4</v>
      </c>
      <c r="C805">
        <v>62</v>
      </c>
    </row>
    <row r="806" spans="1:3">
      <c r="A806" t="str">
        <f>"931604"</f>
        <v>931604</v>
      </c>
      <c r="B806" t="s">
        <v>4</v>
      </c>
      <c r="C806">
        <v>62</v>
      </c>
    </row>
    <row r="807" spans="1:3">
      <c r="A807" t="str">
        <f>"931605"</f>
        <v>931605</v>
      </c>
      <c r="B807" t="s">
        <v>4</v>
      </c>
      <c r="C807">
        <v>62</v>
      </c>
    </row>
    <row r="808" spans="1:3">
      <c r="A808" t="str">
        <f>"931606"</f>
        <v>931606</v>
      </c>
      <c r="B808" t="s">
        <v>4</v>
      </c>
      <c r="C808">
        <v>62</v>
      </c>
    </row>
    <row r="809" spans="1:3">
      <c r="A809" t="str">
        <f>"931607"</f>
        <v>931607</v>
      </c>
      <c r="B809" t="s">
        <v>4</v>
      </c>
      <c r="C809">
        <v>62</v>
      </c>
    </row>
    <row r="810" spans="1:3">
      <c r="A810" t="str">
        <f>"931608"</f>
        <v>931608</v>
      </c>
      <c r="B810" t="s">
        <v>4</v>
      </c>
      <c r="C810">
        <v>62</v>
      </c>
    </row>
    <row r="811" spans="1:3">
      <c r="A811" t="str">
        <f>"931609"</f>
        <v>931609</v>
      </c>
      <c r="B811" t="s">
        <v>4</v>
      </c>
      <c r="C811">
        <v>62</v>
      </c>
    </row>
    <row r="812" spans="1:3">
      <c r="A812" t="str">
        <f>"931610"</f>
        <v>931610</v>
      </c>
      <c r="B812" t="s">
        <v>4</v>
      </c>
      <c r="C812">
        <v>62</v>
      </c>
    </row>
    <row r="813" spans="1:3">
      <c r="A813" t="str">
        <f>"931611"</f>
        <v>931611</v>
      </c>
      <c r="B813" t="s">
        <v>4</v>
      </c>
      <c r="C813">
        <v>62</v>
      </c>
    </row>
    <row r="814" spans="1:3">
      <c r="A814" t="str">
        <f>"931612"</f>
        <v>931612</v>
      </c>
      <c r="B814" t="s">
        <v>4</v>
      </c>
      <c r="C814">
        <v>62</v>
      </c>
    </row>
    <row r="815" spans="1:3">
      <c r="A815" t="str">
        <f>"931613"</f>
        <v>931613</v>
      </c>
      <c r="B815" t="s">
        <v>4</v>
      </c>
      <c r="C815">
        <v>62</v>
      </c>
    </row>
    <row r="816" spans="1:3">
      <c r="A816" t="str">
        <f>"931614"</f>
        <v>931614</v>
      </c>
      <c r="B816" t="s">
        <v>4</v>
      </c>
      <c r="C816">
        <v>62</v>
      </c>
    </row>
    <row r="817" spans="1:3">
      <c r="A817" t="str">
        <f>"931615"</f>
        <v>931615</v>
      </c>
      <c r="B817" t="s">
        <v>4</v>
      </c>
      <c r="C817">
        <v>62</v>
      </c>
    </row>
    <row r="818" spans="1:3">
      <c r="A818" t="str">
        <f>"931616"</f>
        <v>931616</v>
      </c>
      <c r="B818" t="s">
        <v>4</v>
      </c>
      <c r="C818">
        <v>62</v>
      </c>
    </row>
    <row r="819" spans="1:3">
      <c r="A819" t="str">
        <f>"931617"</f>
        <v>931617</v>
      </c>
      <c r="B819" t="s">
        <v>4</v>
      </c>
      <c r="C819">
        <v>62</v>
      </c>
    </row>
    <row r="820" spans="1:3">
      <c r="A820" t="str">
        <f>"931618"</f>
        <v>931618</v>
      </c>
      <c r="B820" t="s">
        <v>4</v>
      </c>
      <c r="C820">
        <v>62</v>
      </c>
    </row>
    <row r="821" spans="1:3">
      <c r="A821" t="str">
        <f>"931619"</f>
        <v>931619</v>
      </c>
      <c r="B821" t="s">
        <v>4</v>
      </c>
      <c r="C821">
        <v>62</v>
      </c>
    </row>
    <row r="822" spans="1:3">
      <c r="A822" t="str">
        <f>"931620"</f>
        <v>931620</v>
      </c>
      <c r="B822" t="s">
        <v>4</v>
      </c>
      <c r="C822">
        <v>62</v>
      </c>
    </row>
    <row r="823" spans="1:3">
      <c r="A823" t="str">
        <f>"931621"</f>
        <v>931621</v>
      </c>
      <c r="B823" t="s">
        <v>4</v>
      </c>
      <c r="C823">
        <v>62</v>
      </c>
    </row>
    <row r="824" spans="1:3">
      <c r="A824" t="str">
        <f>"931622"</f>
        <v>931622</v>
      </c>
      <c r="B824" t="s">
        <v>4</v>
      </c>
      <c r="C824">
        <v>62</v>
      </c>
    </row>
    <row r="825" spans="1:3">
      <c r="A825" t="str">
        <f>"931623"</f>
        <v>931623</v>
      </c>
      <c r="B825" t="s">
        <v>4</v>
      </c>
      <c r="C825">
        <v>62</v>
      </c>
    </row>
    <row r="826" spans="1:3">
      <c r="A826" t="str">
        <f>"931624"</f>
        <v>931624</v>
      </c>
      <c r="B826" t="s">
        <v>4</v>
      </c>
      <c r="C826">
        <v>62</v>
      </c>
    </row>
    <row r="827" spans="1:3">
      <c r="A827" t="str">
        <f>"931625"</f>
        <v>931625</v>
      </c>
      <c r="B827" t="s">
        <v>4</v>
      </c>
      <c r="C827">
        <v>62</v>
      </c>
    </row>
    <row r="828" spans="1:3">
      <c r="A828" t="str">
        <f>"931626"</f>
        <v>931626</v>
      </c>
      <c r="B828" t="s">
        <v>4</v>
      </c>
      <c r="C828">
        <v>62</v>
      </c>
    </row>
    <row r="829" spans="1:3">
      <c r="A829" t="str">
        <f>"931627"</f>
        <v>931627</v>
      </c>
      <c r="B829" t="s">
        <v>4</v>
      </c>
      <c r="C829">
        <v>62</v>
      </c>
    </row>
    <row r="830" spans="1:3">
      <c r="A830" t="str">
        <f>"931628"</f>
        <v>931628</v>
      </c>
      <c r="B830" t="s">
        <v>4</v>
      </c>
      <c r="C830">
        <v>62</v>
      </c>
    </row>
    <row r="831" spans="1:3">
      <c r="A831" t="str">
        <f>"931629"</f>
        <v>931629</v>
      </c>
      <c r="B831" t="s">
        <v>4</v>
      </c>
      <c r="C831">
        <v>62</v>
      </c>
    </row>
    <row r="832" spans="1:3">
      <c r="A832" t="str">
        <f>"931630"</f>
        <v>931630</v>
      </c>
      <c r="B832" t="s">
        <v>4</v>
      </c>
      <c r="C832">
        <v>62</v>
      </c>
    </row>
    <row r="833" spans="1:3">
      <c r="A833" t="str">
        <f>"931631"</f>
        <v>931631</v>
      </c>
      <c r="B833" t="s">
        <v>4</v>
      </c>
      <c r="C833">
        <v>62</v>
      </c>
    </row>
    <row r="834" spans="1:3">
      <c r="A834" t="str">
        <f>"931632"</f>
        <v>931632</v>
      </c>
      <c r="B834" t="s">
        <v>4</v>
      </c>
      <c r="C834">
        <v>62</v>
      </c>
    </row>
    <row r="835" spans="1:3">
      <c r="A835" t="str">
        <f>"931633"</f>
        <v>931633</v>
      </c>
      <c r="B835" t="s">
        <v>4</v>
      </c>
      <c r="C835">
        <v>62</v>
      </c>
    </row>
    <row r="836" spans="1:3">
      <c r="A836" t="str">
        <f>"931634"</f>
        <v>931634</v>
      </c>
      <c r="B836" t="s">
        <v>4</v>
      </c>
      <c r="C836">
        <v>62</v>
      </c>
    </row>
    <row r="837" spans="1:3">
      <c r="A837" t="str">
        <f>"931635"</f>
        <v>931635</v>
      </c>
      <c r="B837" t="s">
        <v>4</v>
      </c>
      <c r="C837">
        <v>62</v>
      </c>
    </row>
    <row r="838" spans="1:3">
      <c r="A838" t="str">
        <f>"931636"</f>
        <v>931636</v>
      </c>
      <c r="B838" t="s">
        <v>4</v>
      </c>
      <c r="C838">
        <v>62</v>
      </c>
    </row>
    <row r="839" spans="1:3">
      <c r="A839" t="str">
        <f>"931637"</f>
        <v>931637</v>
      </c>
      <c r="B839" t="s">
        <v>4</v>
      </c>
      <c r="C839">
        <v>62</v>
      </c>
    </row>
    <row r="840" spans="1:3">
      <c r="A840" t="str">
        <f>"931639"</f>
        <v>931639</v>
      </c>
      <c r="B840" t="s">
        <v>4</v>
      </c>
      <c r="C840">
        <v>62</v>
      </c>
    </row>
    <row r="841" spans="1:3">
      <c r="A841" t="str">
        <f>"931640"</f>
        <v>931640</v>
      </c>
      <c r="B841" t="s">
        <v>4</v>
      </c>
      <c r="C841">
        <v>62</v>
      </c>
    </row>
    <row r="842" spans="1:3">
      <c r="A842" t="str">
        <f>"931641"</f>
        <v>931641</v>
      </c>
      <c r="B842" t="s">
        <v>4</v>
      </c>
      <c r="C842">
        <v>62</v>
      </c>
    </row>
    <row r="843" spans="1:3">
      <c r="A843" t="str">
        <f>"931642"</f>
        <v>931642</v>
      </c>
      <c r="B843" t="s">
        <v>4</v>
      </c>
      <c r="C843">
        <v>62</v>
      </c>
    </row>
    <row r="844" spans="1:3">
      <c r="A844" t="str">
        <f>"931643"</f>
        <v>931643</v>
      </c>
      <c r="B844" t="s">
        <v>4</v>
      </c>
      <c r="C844">
        <v>62</v>
      </c>
    </row>
    <row r="845" spans="1:3">
      <c r="A845" t="str">
        <f>"931644"</f>
        <v>931644</v>
      </c>
      <c r="B845" t="s">
        <v>4</v>
      </c>
      <c r="C845">
        <v>62</v>
      </c>
    </row>
    <row r="846" spans="1:3">
      <c r="A846" t="str">
        <f>"931645"</f>
        <v>931645</v>
      </c>
      <c r="B846" t="s">
        <v>4</v>
      </c>
      <c r="C846">
        <v>62</v>
      </c>
    </row>
    <row r="847" spans="1:3">
      <c r="A847" t="str">
        <f>"931646"</f>
        <v>931646</v>
      </c>
      <c r="B847" t="s">
        <v>4</v>
      </c>
      <c r="C847">
        <v>62</v>
      </c>
    </row>
    <row r="848" spans="1:3">
      <c r="A848" t="str">
        <f>"931647"</f>
        <v>931647</v>
      </c>
      <c r="B848" t="s">
        <v>4</v>
      </c>
      <c r="C848">
        <v>62</v>
      </c>
    </row>
    <row r="849" spans="1:3">
      <c r="A849" t="str">
        <f>"931648"</f>
        <v>931648</v>
      </c>
      <c r="B849" t="s">
        <v>4</v>
      </c>
      <c r="C849">
        <v>62</v>
      </c>
    </row>
    <row r="850" spans="1:3">
      <c r="A850" t="str">
        <f>"931652"</f>
        <v>931652</v>
      </c>
      <c r="B850" t="s">
        <v>4</v>
      </c>
      <c r="C850">
        <v>62</v>
      </c>
    </row>
    <row r="851" spans="1:3">
      <c r="A851" t="str">
        <f>"931653"</f>
        <v>931653</v>
      </c>
      <c r="B851" t="s">
        <v>4</v>
      </c>
      <c r="C851">
        <v>62</v>
      </c>
    </row>
    <row r="852" spans="1:3">
      <c r="A852" t="str">
        <f>"931663"</f>
        <v>931663</v>
      </c>
      <c r="B852" t="s">
        <v>4</v>
      </c>
      <c r="C852">
        <v>62</v>
      </c>
    </row>
    <row r="853" spans="1:3">
      <c r="A853" t="str">
        <f>"931664"</f>
        <v>931664</v>
      </c>
      <c r="B853" t="s">
        <v>4</v>
      </c>
      <c r="C853">
        <v>62</v>
      </c>
    </row>
    <row r="854" spans="1:3">
      <c r="A854" t="str">
        <f>"931665"</f>
        <v>931665</v>
      </c>
      <c r="B854" t="s">
        <v>4</v>
      </c>
      <c r="C854">
        <v>62</v>
      </c>
    </row>
    <row r="855" spans="1:3">
      <c r="A855" t="str">
        <f>"931666"</f>
        <v>931666</v>
      </c>
      <c r="B855" t="s">
        <v>4</v>
      </c>
      <c r="C855">
        <v>62</v>
      </c>
    </row>
    <row r="856" spans="1:3">
      <c r="A856" t="str">
        <f>"931667"</f>
        <v>931667</v>
      </c>
      <c r="B856" t="s">
        <v>4</v>
      </c>
      <c r="C856">
        <v>62</v>
      </c>
    </row>
    <row r="857" spans="1:3">
      <c r="A857" t="str">
        <f>"931668"</f>
        <v>931668</v>
      </c>
      <c r="B857" t="s">
        <v>4</v>
      </c>
      <c r="C857">
        <v>62</v>
      </c>
    </row>
    <row r="858" spans="1:3">
      <c r="A858" t="str">
        <f>"931670"</f>
        <v>931670</v>
      </c>
      <c r="B858" t="s">
        <v>4</v>
      </c>
      <c r="C858">
        <v>62</v>
      </c>
    </row>
    <row r="859" spans="1:3">
      <c r="A859" t="str">
        <f>"931671"</f>
        <v>931671</v>
      </c>
      <c r="B859" t="s">
        <v>4</v>
      </c>
      <c r="C859">
        <v>62</v>
      </c>
    </row>
    <row r="860" spans="1:3">
      <c r="A860" t="str">
        <f>"931672"</f>
        <v>931672</v>
      </c>
      <c r="B860" t="s">
        <v>4</v>
      </c>
      <c r="C860">
        <v>62</v>
      </c>
    </row>
    <row r="861" spans="1:3">
      <c r="A861" t="str">
        <f>"931674"</f>
        <v>931674</v>
      </c>
      <c r="B861" t="s">
        <v>4</v>
      </c>
      <c r="C861">
        <v>62</v>
      </c>
    </row>
    <row r="862" spans="1:3">
      <c r="A862" t="str">
        <f>"931675"</f>
        <v>931675</v>
      </c>
      <c r="B862" t="s">
        <v>4</v>
      </c>
      <c r="C862">
        <v>62</v>
      </c>
    </row>
    <row r="863" spans="1:3">
      <c r="A863" t="str">
        <f>"931676"</f>
        <v>931676</v>
      </c>
      <c r="B863" t="s">
        <v>4</v>
      </c>
      <c r="C863">
        <v>62</v>
      </c>
    </row>
    <row r="864" spans="1:3">
      <c r="A864" t="str">
        <f>"931677"</f>
        <v>931677</v>
      </c>
      <c r="B864" t="s">
        <v>4</v>
      </c>
      <c r="C864">
        <v>62</v>
      </c>
    </row>
    <row r="865" spans="1:3">
      <c r="A865" t="str">
        <f>"931682"</f>
        <v>931682</v>
      </c>
      <c r="B865" t="s">
        <v>4</v>
      </c>
      <c r="C865">
        <v>62</v>
      </c>
    </row>
    <row r="866" spans="1:3">
      <c r="A866" t="str">
        <f>"931684"</f>
        <v>931684</v>
      </c>
      <c r="B866" t="s">
        <v>4</v>
      </c>
      <c r="C866">
        <v>62</v>
      </c>
    </row>
    <row r="867" spans="1:3">
      <c r="A867" t="str">
        <f>"931685"</f>
        <v>931685</v>
      </c>
      <c r="B867" t="s">
        <v>4</v>
      </c>
      <c r="C867">
        <v>62</v>
      </c>
    </row>
    <row r="868" spans="1:3">
      <c r="A868" t="str">
        <f>"931686"</f>
        <v>931686</v>
      </c>
      <c r="B868" t="s">
        <v>4</v>
      </c>
      <c r="C868">
        <v>62</v>
      </c>
    </row>
    <row r="869" spans="1:3">
      <c r="A869" t="str">
        <f>"931687"</f>
        <v>931687</v>
      </c>
      <c r="B869" t="s">
        <v>4</v>
      </c>
      <c r="C869">
        <v>62</v>
      </c>
    </row>
    <row r="870" spans="1:3">
      <c r="A870" t="str">
        <f>"931688"</f>
        <v>931688</v>
      </c>
      <c r="B870" t="s">
        <v>4</v>
      </c>
      <c r="C870">
        <v>62</v>
      </c>
    </row>
    <row r="871" spans="1:3">
      <c r="A871" t="str">
        <f>"931689"</f>
        <v>931689</v>
      </c>
      <c r="B871" t="s">
        <v>4</v>
      </c>
      <c r="C871">
        <v>62</v>
      </c>
    </row>
    <row r="872" spans="1:3">
      <c r="A872" t="str">
        <f>"931690"</f>
        <v>931690</v>
      </c>
      <c r="B872" t="s">
        <v>4</v>
      </c>
      <c r="C872">
        <v>62</v>
      </c>
    </row>
    <row r="873" spans="1:3">
      <c r="A873" t="str">
        <f>"931691"</f>
        <v>931691</v>
      </c>
      <c r="B873" t="s">
        <v>4</v>
      </c>
      <c r="C873">
        <v>62</v>
      </c>
    </row>
    <row r="874" spans="1:3">
      <c r="A874" t="str">
        <f>"931692"</f>
        <v>931692</v>
      </c>
      <c r="B874" t="s">
        <v>4</v>
      </c>
      <c r="C874">
        <v>62</v>
      </c>
    </row>
    <row r="875" spans="1:3">
      <c r="A875" t="str">
        <f>"931693"</f>
        <v>931693</v>
      </c>
      <c r="B875" t="s">
        <v>4</v>
      </c>
      <c r="C875">
        <v>62</v>
      </c>
    </row>
    <row r="876" spans="1:3">
      <c r="A876" t="str">
        <f>"931694"</f>
        <v>931694</v>
      </c>
      <c r="B876" t="s">
        <v>4</v>
      </c>
      <c r="C876">
        <v>62</v>
      </c>
    </row>
    <row r="877" spans="1:3">
      <c r="A877" t="str">
        <f>"931695"</f>
        <v>931695</v>
      </c>
      <c r="B877" t="s">
        <v>4</v>
      </c>
      <c r="C877">
        <v>62</v>
      </c>
    </row>
    <row r="878" spans="1:3">
      <c r="A878" t="str">
        <f>"931696"</f>
        <v>931696</v>
      </c>
      <c r="B878" t="s">
        <v>4</v>
      </c>
      <c r="C878">
        <v>62</v>
      </c>
    </row>
    <row r="879" spans="1:3">
      <c r="A879" t="str">
        <f>"931697"</f>
        <v>931697</v>
      </c>
      <c r="B879" t="s">
        <v>4</v>
      </c>
      <c r="C879">
        <v>62</v>
      </c>
    </row>
    <row r="880" spans="1:3">
      <c r="A880" t="str">
        <f>"931698"</f>
        <v>931698</v>
      </c>
      <c r="B880" t="s">
        <v>4</v>
      </c>
      <c r="C880">
        <v>62</v>
      </c>
    </row>
    <row r="881" spans="1:3">
      <c r="A881" t="str">
        <f>"931699"</f>
        <v>931699</v>
      </c>
      <c r="B881" t="s">
        <v>4</v>
      </c>
      <c r="C881">
        <v>62</v>
      </c>
    </row>
    <row r="882" spans="1:3">
      <c r="A882" t="str">
        <f>"931700"</f>
        <v>931700</v>
      </c>
      <c r="B882" t="s">
        <v>4</v>
      </c>
      <c r="C882">
        <v>62</v>
      </c>
    </row>
    <row r="883" spans="1:3">
      <c r="A883" t="str">
        <f>"931701"</f>
        <v>931701</v>
      </c>
      <c r="B883" t="s">
        <v>4</v>
      </c>
      <c r="C883">
        <v>62</v>
      </c>
    </row>
    <row r="884" spans="1:3">
      <c r="A884" t="str">
        <f>"931702"</f>
        <v>931702</v>
      </c>
      <c r="B884" t="s">
        <v>4</v>
      </c>
      <c r="C884">
        <v>62</v>
      </c>
    </row>
    <row r="885" spans="1:3">
      <c r="A885" t="str">
        <f>"931703"</f>
        <v>931703</v>
      </c>
      <c r="B885" t="s">
        <v>4</v>
      </c>
      <c r="C885">
        <v>62</v>
      </c>
    </row>
    <row r="886" spans="1:3">
      <c r="A886" t="str">
        <f>"931704"</f>
        <v>931704</v>
      </c>
      <c r="B886" t="s">
        <v>4</v>
      </c>
      <c r="C886">
        <v>62</v>
      </c>
    </row>
    <row r="887" spans="1:3">
      <c r="A887" t="str">
        <f>"931705"</f>
        <v>931705</v>
      </c>
      <c r="B887" t="s">
        <v>4</v>
      </c>
      <c r="C887">
        <v>62</v>
      </c>
    </row>
    <row r="888" spans="1:3">
      <c r="A888" t="str">
        <f>"931706"</f>
        <v>931706</v>
      </c>
      <c r="B888" t="s">
        <v>4</v>
      </c>
      <c r="C888">
        <v>62</v>
      </c>
    </row>
    <row r="889" spans="1:3">
      <c r="A889" t="str">
        <f>"931707"</f>
        <v>931707</v>
      </c>
      <c r="B889" t="s">
        <v>4</v>
      </c>
      <c r="C889">
        <v>62</v>
      </c>
    </row>
    <row r="890" spans="1:3">
      <c r="A890" t="str">
        <f>"931708"</f>
        <v>931708</v>
      </c>
      <c r="B890" t="s">
        <v>4</v>
      </c>
      <c r="C890">
        <v>62</v>
      </c>
    </row>
    <row r="891" spans="1:3">
      <c r="A891" t="str">
        <f>"931709"</f>
        <v>931709</v>
      </c>
      <c r="B891" t="s">
        <v>4</v>
      </c>
      <c r="C891">
        <v>62</v>
      </c>
    </row>
    <row r="892" spans="1:3">
      <c r="A892" t="str">
        <f>"931710"</f>
        <v>931710</v>
      </c>
      <c r="B892" t="s">
        <v>4</v>
      </c>
      <c r="C892">
        <v>62</v>
      </c>
    </row>
    <row r="893" spans="1:3">
      <c r="A893" t="str">
        <f>"931711"</f>
        <v>931711</v>
      </c>
      <c r="B893" t="s">
        <v>4</v>
      </c>
      <c r="C893">
        <v>62</v>
      </c>
    </row>
    <row r="894" spans="1:3">
      <c r="A894" t="str">
        <f>"931712"</f>
        <v>931712</v>
      </c>
      <c r="B894" t="s">
        <v>4</v>
      </c>
      <c r="C894">
        <v>62</v>
      </c>
    </row>
    <row r="895" spans="1:3">
      <c r="A895" t="str">
        <f>"931713"</f>
        <v>931713</v>
      </c>
      <c r="B895" t="s">
        <v>4</v>
      </c>
      <c r="C895">
        <v>62</v>
      </c>
    </row>
    <row r="896" spans="1:3">
      <c r="A896" t="str">
        <f>"931714"</f>
        <v>931714</v>
      </c>
      <c r="B896" t="s">
        <v>4</v>
      </c>
      <c r="C896">
        <v>62</v>
      </c>
    </row>
    <row r="897" spans="1:3">
      <c r="A897" t="str">
        <f>"931715"</f>
        <v>931715</v>
      </c>
      <c r="B897" t="s">
        <v>4</v>
      </c>
      <c r="C897">
        <v>62</v>
      </c>
    </row>
    <row r="898" spans="1:3">
      <c r="A898" t="str">
        <f>"931716"</f>
        <v>931716</v>
      </c>
      <c r="B898" t="s">
        <v>4</v>
      </c>
      <c r="C898">
        <v>62</v>
      </c>
    </row>
    <row r="899" spans="1:3">
      <c r="A899" t="str">
        <f>"931717"</f>
        <v>931717</v>
      </c>
      <c r="B899" t="s">
        <v>4</v>
      </c>
      <c r="C899">
        <v>62</v>
      </c>
    </row>
    <row r="900" spans="1:3">
      <c r="A900" t="str">
        <f>"931718"</f>
        <v>931718</v>
      </c>
      <c r="B900" t="s">
        <v>4</v>
      </c>
      <c r="C900">
        <v>62</v>
      </c>
    </row>
    <row r="901" spans="1:3">
      <c r="A901" t="str">
        <f>"931719"</f>
        <v>931719</v>
      </c>
      <c r="B901" t="s">
        <v>4</v>
      </c>
      <c r="C901">
        <v>62</v>
      </c>
    </row>
    <row r="902" spans="1:3">
      <c r="A902" t="str">
        <f>"931722"</f>
        <v>931722</v>
      </c>
      <c r="B902" t="s">
        <v>4</v>
      </c>
      <c r="C902">
        <v>62</v>
      </c>
    </row>
    <row r="903" spans="1:3">
      <c r="A903" t="str">
        <f>"931722CNY100"</f>
        <v>931722CNY100</v>
      </c>
      <c r="B903" t="s">
        <v>4</v>
      </c>
      <c r="C903">
        <v>62</v>
      </c>
    </row>
    <row r="904" spans="1:3">
      <c r="A904" t="str">
        <f>"931722CNY110"</f>
        <v>931722CNY110</v>
      </c>
      <c r="B904" t="s">
        <v>4</v>
      </c>
      <c r="C904">
        <v>62</v>
      </c>
    </row>
    <row r="905" spans="1:3">
      <c r="A905" t="str">
        <f>"931722HKD210"</f>
        <v>931722HKD210</v>
      </c>
      <c r="B905" t="s">
        <v>4</v>
      </c>
      <c r="C905">
        <v>62</v>
      </c>
    </row>
    <row r="906" spans="1:3">
      <c r="A906" t="str">
        <f>"931722HKD220"</f>
        <v>931722HKD220</v>
      </c>
      <c r="B906" t="s">
        <v>4</v>
      </c>
      <c r="C906">
        <v>62</v>
      </c>
    </row>
    <row r="907" spans="1:3">
      <c r="A907" t="str">
        <f>"931722USD200"</f>
        <v>931722USD200</v>
      </c>
      <c r="B907" t="s">
        <v>4</v>
      </c>
      <c r="C907">
        <v>62</v>
      </c>
    </row>
    <row r="908" spans="1:3">
      <c r="A908" t="str">
        <f>"931722USD210"</f>
        <v>931722USD210</v>
      </c>
      <c r="B908" t="s">
        <v>4</v>
      </c>
      <c r="C908">
        <v>62</v>
      </c>
    </row>
    <row r="909" spans="1:3">
      <c r="A909" t="str">
        <f>"931723"</f>
        <v>931723</v>
      </c>
      <c r="B909" t="s">
        <v>4</v>
      </c>
      <c r="C909">
        <v>62</v>
      </c>
    </row>
    <row r="910" spans="1:3">
      <c r="A910" t="str">
        <f>"931724"</f>
        <v>931724</v>
      </c>
      <c r="B910" t="s">
        <v>4</v>
      </c>
      <c r="C910">
        <v>62</v>
      </c>
    </row>
    <row r="911" spans="1:3">
      <c r="A911" t="str">
        <f>"931725"</f>
        <v>931725</v>
      </c>
      <c r="B911" t="s">
        <v>4</v>
      </c>
      <c r="C911">
        <v>62</v>
      </c>
    </row>
    <row r="912" spans="1:3">
      <c r="A912" t="str">
        <f>"931726"</f>
        <v>931726</v>
      </c>
      <c r="B912" t="s">
        <v>4</v>
      </c>
      <c r="C912">
        <v>62</v>
      </c>
    </row>
    <row r="913" spans="1:3">
      <c r="A913" t="str">
        <f>"931728"</f>
        <v>931728</v>
      </c>
      <c r="B913" t="s">
        <v>4</v>
      </c>
      <c r="C913">
        <v>62</v>
      </c>
    </row>
    <row r="914" spans="1:3">
      <c r="A914" t="str">
        <f>"931733"</f>
        <v>931733</v>
      </c>
      <c r="B914" t="s">
        <v>4</v>
      </c>
      <c r="C914">
        <v>62</v>
      </c>
    </row>
    <row r="915" spans="1:3">
      <c r="A915" t="str">
        <f>"931740"</f>
        <v>931740</v>
      </c>
      <c r="B915" t="s">
        <v>4</v>
      </c>
      <c r="C915">
        <v>62</v>
      </c>
    </row>
    <row r="916" spans="1:3">
      <c r="A916" t="str">
        <f>"931741"</f>
        <v>931741</v>
      </c>
      <c r="B916" t="s">
        <v>4</v>
      </c>
      <c r="C916">
        <v>62</v>
      </c>
    </row>
    <row r="917" spans="1:3">
      <c r="A917" t="str">
        <f>"931743"</f>
        <v>931743</v>
      </c>
      <c r="B917" t="s">
        <v>4</v>
      </c>
      <c r="C917">
        <v>62</v>
      </c>
    </row>
    <row r="918" spans="1:3">
      <c r="A918" t="str">
        <f>"931746"</f>
        <v>931746</v>
      </c>
      <c r="B918" t="s">
        <v>4</v>
      </c>
      <c r="C918">
        <v>62</v>
      </c>
    </row>
    <row r="919" spans="1:3">
      <c r="A919" t="str">
        <f>"931747"</f>
        <v>931747</v>
      </c>
      <c r="B919" t="s">
        <v>4</v>
      </c>
      <c r="C919">
        <v>62</v>
      </c>
    </row>
    <row r="920" spans="1:3">
      <c r="A920" t="str">
        <f>"931748"</f>
        <v>931748</v>
      </c>
      <c r="B920" t="s">
        <v>4</v>
      </c>
      <c r="C920">
        <v>62</v>
      </c>
    </row>
    <row r="921" spans="1:3">
      <c r="A921" t="str">
        <f>"931749"</f>
        <v>931749</v>
      </c>
      <c r="B921" t="s">
        <v>4</v>
      </c>
      <c r="C921">
        <v>62</v>
      </c>
    </row>
    <row r="922" spans="1:3">
      <c r="A922" t="str">
        <f>"931750"</f>
        <v>931750</v>
      </c>
      <c r="B922" t="s">
        <v>4</v>
      </c>
      <c r="C922">
        <v>62</v>
      </c>
    </row>
    <row r="923" spans="1:3">
      <c r="A923" t="str">
        <f>"931752"</f>
        <v>931752</v>
      </c>
      <c r="B923" t="s">
        <v>4</v>
      </c>
      <c r="C923">
        <v>62</v>
      </c>
    </row>
    <row r="924" spans="1:3">
      <c r="A924" t="str">
        <f>"931753"</f>
        <v>931753</v>
      </c>
      <c r="B924" t="s">
        <v>4</v>
      </c>
      <c r="C924">
        <v>62</v>
      </c>
    </row>
    <row r="925" spans="1:3">
      <c r="A925" t="str">
        <f>"931754"</f>
        <v>931754</v>
      </c>
      <c r="B925" t="s">
        <v>4</v>
      </c>
      <c r="C925">
        <v>62</v>
      </c>
    </row>
    <row r="926" spans="1:3">
      <c r="A926" t="str">
        <f>"931755"</f>
        <v>931755</v>
      </c>
      <c r="B926" t="s">
        <v>4</v>
      </c>
      <c r="C926">
        <v>62</v>
      </c>
    </row>
    <row r="927" spans="1:3">
      <c r="A927" t="str">
        <f>"931756"</f>
        <v>931756</v>
      </c>
      <c r="B927" t="s">
        <v>4</v>
      </c>
      <c r="C927">
        <v>62</v>
      </c>
    </row>
    <row r="928" spans="1:3">
      <c r="A928" t="str">
        <f>"931757"</f>
        <v>931757</v>
      </c>
      <c r="B928" t="s">
        <v>4</v>
      </c>
      <c r="C928">
        <v>62</v>
      </c>
    </row>
    <row r="929" spans="1:3">
      <c r="A929" t="str">
        <f>"931758"</f>
        <v>931758</v>
      </c>
      <c r="B929" t="s">
        <v>4</v>
      </c>
      <c r="C929">
        <v>62</v>
      </c>
    </row>
    <row r="930" spans="1:3">
      <c r="A930" t="str">
        <f>"931759"</f>
        <v>931759</v>
      </c>
      <c r="B930" t="s">
        <v>4</v>
      </c>
      <c r="C930">
        <v>62</v>
      </c>
    </row>
    <row r="931" spans="1:3">
      <c r="A931" t="str">
        <f>"931760"</f>
        <v>931760</v>
      </c>
      <c r="B931" t="s">
        <v>4</v>
      </c>
      <c r="C931">
        <v>62</v>
      </c>
    </row>
    <row r="932" spans="1:3">
      <c r="A932" t="str">
        <f>"931761"</f>
        <v>931761</v>
      </c>
      <c r="B932" t="s">
        <v>4</v>
      </c>
      <c r="C932">
        <v>62</v>
      </c>
    </row>
    <row r="933" spans="1:3">
      <c r="A933" t="str">
        <f>"931762"</f>
        <v>931762</v>
      </c>
      <c r="B933" t="s">
        <v>4</v>
      </c>
      <c r="C933">
        <v>62</v>
      </c>
    </row>
    <row r="934" spans="1:3">
      <c r="A934" t="str">
        <f>"931766"</f>
        <v>931766</v>
      </c>
      <c r="B934" t="s">
        <v>4</v>
      </c>
      <c r="C934">
        <v>62</v>
      </c>
    </row>
    <row r="935" spans="1:3">
      <c r="A935" t="str">
        <f>"931767"</f>
        <v>931767</v>
      </c>
      <c r="B935" t="s">
        <v>4</v>
      </c>
      <c r="C935">
        <v>62</v>
      </c>
    </row>
    <row r="936" spans="1:3">
      <c r="A936" t="str">
        <f>"931768"</f>
        <v>931768</v>
      </c>
      <c r="B936" t="s">
        <v>4</v>
      </c>
      <c r="C936">
        <v>62</v>
      </c>
    </row>
    <row r="937" spans="1:3">
      <c r="A937" t="str">
        <f>"931769"</f>
        <v>931769</v>
      </c>
      <c r="B937" t="s">
        <v>4</v>
      </c>
      <c r="C937">
        <v>62</v>
      </c>
    </row>
    <row r="938" spans="1:3">
      <c r="A938" t="str">
        <f>"931770"</f>
        <v>931770</v>
      </c>
      <c r="B938" t="s">
        <v>4</v>
      </c>
      <c r="C938">
        <v>62</v>
      </c>
    </row>
    <row r="939" spans="1:3">
      <c r="A939" t="str">
        <f>"931772"</f>
        <v>931772</v>
      </c>
      <c r="B939" t="s">
        <v>4</v>
      </c>
      <c r="C939">
        <v>62</v>
      </c>
    </row>
    <row r="940" spans="1:3">
      <c r="A940" t="str">
        <f>"931773"</f>
        <v>931773</v>
      </c>
      <c r="B940" t="s">
        <v>4</v>
      </c>
      <c r="C940">
        <v>62</v>
      </c>
    </row>
    <row r="941" spans="1:3">
      <c r="A941" t="str">
        <f>"931775"</f>
        <v>931775</v>
      </c>
      <c r="B941" t="s">
        <v>4</v>
      </c>
      <c r="C941">
        <v>62</v>
      </c>
    </row>
    <row r="942" spans="1:3">
      <c r="A942" t="str">
        <f>"931776"</f>
        <v>931776</v>
      </c>
      <c r="B942" t="s">
        <v>4</v>
      </c>
      <c r="C942">
        <v>62</v>
      </c>
    </row>
    <row r="943" spans="1:3">
      <c r="A943" t="str">
        <f>"931778"</f>
        <v>931778</v>
      </c>
      <c r="B943" t="s">
        <v>4</v>
      </c>
      <c r="C943">
        <v>62</v>
      </c>
    </row>
    <row r="944" spans="1:3">
      <c r="A944" t="str">
        <f>"931779"</f>
        <v>931779</v>
      </c>
      <c r="B944" t="s">
        <v>4</v>
      </c>
      <c r="C944">
        <v>62</v>
      </c>
    </row>
    <row r="945" spans="1:3">
      <c r="A945" t="str">
        <f>"931782"</f>
        <v>931782</v>
      </c>
      <c r="B945" t="s">
        <v>4</v>
      </c>
      <c r="C945">
        <v>62</v>
      </c>
    </row>
    <row r="946" spans="1:3">
      <c r="A946" t="str">
        <f>"931783"</f>
        <v>931783</v>
      </c>
      <c r="B946" t="s">
        <v>4</v>
      </c>
      <c r="C946">
        <v>62</v>
      </c>
    </row>
    <row r="947" spans="1:3">
      <c r="A947" t="str">
        <f>"931787"</f>
        <v>931787</v>
      </c>
      <c r="B947" t="s">
        <v>4</v>
      </c>
      <c r="C947">
        <v>62</v>
      </c>
    </row>
    <row r="948" spans="1:3">
      <c r="A948" t="str">
        <f>"931788"</f>
        <v>931788</v>
      </c>
      <c r="B948" t="s">
        <v>4</v>
      </c>
      <c r="C948">
        <v>62</v>
      </c>
    </row>
    <row r="949" spans="1:3">
      <c r="A949" t="str">
        <f>"931789"</f>
        <v>931789</v>
      </c>
      <c r="B949" t="s">
        <v>4</v>
      </c>
      <c r="C949">
        <v>62</v>
      </c>
    </row>
    <row r="950" spans="1:3">
      <c r="A950" t="str">
        <f>"931790"</f>
        <v>931790</v>
      </c>
      <c r="B950" t="s">
        <v>4</v>
      </c>
      <c r="C950">
        <v>62</v>
      </c>
    </row>
    <row r="951" spans="1:3">
      <c r="A951" t="str">
        <f>"931791"</f>
        <v>931791</v>
      </c>
      <c r="B951" t="s">
        <v>4</v>
      </c>
      <c r="C951">
        <v>62</v>
      </c>
    </row>
    <row r="952" spans="1:3">
      <c r="A952" t="str">
        <f>"931792"</f>
        <v>931792</v>
      </c>
      <c r="B952" t="s">
        <v>4</v>
      </c>
      <c r="C952">
        <v>62</v>
      </c>
    </row>
    <row r="953" spans="1:3">
      <c r="A953" t="str">
        <f>"931793"</f>
        <v>931793</v>
      </c>
      <c r="B953" t="s">
        <v>4</v>
      </c>
      <c r="C953">
        <v>62</v>
      </c>
    </row>
    <row r="954" spans="1:3">
      <c r="A954" t="str">
        <f>"931794"</f>
        <v>931794</v>
      </c>
      <c r="B954" t="s">
        <v>4</v>
      </c>
      <c r="C954">
        <v>62</v>
      </c>
    </row>
    <row r="955" spans="1:3">
      <c r="A955" t="str">
        <f>"931795"</f>
        <v>931795</v>
      </c>
      <c r="B955" t="s">
        <v>4</v>
      </c>
      <c r="C955">
        <v>62</v>
      </c>
    </row>
    <row r="956" spans="1:3">
      <c r="A956" t="str">
        <f>"931796"</f>
        <v>931796</v>
      </c>
      <c r="B956" t="s">
        <v>4</v>
      </c>
      <c r="C956">
        <v>62</v>
      </c>
    </row>
    <row r="957" spans="1:3">
      <c r="A957" t="str">
        <f>"931797"</f>
        <v>931797</v>
      </c>
      <c r="B957" t="s">
        <v>4</v>
      </c>
      <c r="C957">
        <v>62</v>
      </c>
    </row>
    <row r="958" spans="1:3">
      <c r="A958" t="str">
        <f>"931798"</f>
        <v>931798</v>
      </c>
      <c r="B958" t="s">
        <v>4</v>
      </c>
      <c r="C958">
        <v>62</v>
      </c>
    </row>
    <row r="959" spans="1:3">
      <c r="A959" t="str">
        <f>"931799"</f>
        <v>931799</v>
      </c>
      <c r="B959" t="s">
        <v>4</v>
      </c>
      <c r="C959">
        <v>62</v>
      </c>
    </row>
    <row r="960" spans="1:3">
      <c r="A960" t="str">
        <f>"931802"</f>
        <v>931802</v>
      </c>
      <c r="B960" t="s">
        <v>4</v>
      </c>
      <c r="C960">
        <v>62</v>
      </c>
    </row>
    <row r="961" spans="1:3">
      <c r="A961" t="str">
        <f>"931803"</f>
        <v>931803</v>
      </c>
      <c r="B961" t="s">
        <v>4</v>
      </c>
      <c r="C961">
        <v>62</v>
      </c>
    </row>
    <row r="962" spans="1:3">
      <c r="A962" t="str">
        <f>"931804"</f>
        <v>931804</v>
      </c>
      <c r="B962" t="s">
        <v>4</v>
      </c>
      <c r="C962">
        <v>62</v>
      </c>
    </row>
    <row r="963" spans="1:3">
      <c r="A963" t="str">
        <f>"931805"</f>
        <v>931805</v>
      </c>
      <c r="B963" t="s">
        <v>4</v>
      </c>
      <c r="C963">
        <v>62</v>
      </c>
    </row>
    <row r="964" spans="1:3">
      <c r="A964" t="str">
        <f>"931806"</f>
        <v>931806</v>
      </c>
      <c r="B964" t="s">
        <v>4</v>
      </c>
      <c r="C964">
        <v>62</v>
      </c>
    </row>
    <row r="965" spans="1:3">
      <c r="A965" t="str">
        <f>"931807"</f>
        <v>931807</v>
      </c>
      <c r="B965" t="s">
        <v>4</v>
      </c>
      <c r="C965">
        <v>62</v>
      </c>
    </row>
    <row r="966" spans="1:3">
      <c r="A966" t="str">
        <f>"931808"</f>
        <v>931808</v>
      </c>
      <c r="B966" t="s">
        <v>4</v>
      </c>
      <c r="C966">
        <v>62</v>
      </c>
    </row>
    <row r="967" spans="1:3">
      <c r="A967" t="str">
        <f>"931811"</f>
        <v>931811</v>
      </c>
      <c r="B967" t="s">
        <v>4</v>
      </c>
      <c r="C967">
        <v>62</v>
      </c>
    </row>
    <row r="968" spans="1:3">
      <c r="A968" t="str">
        <f>"931812"</f>
        <v>931812</v>
      </c>
      <c r="B968" t="s">
        <v>4</v>
      </c>
      <c r="C968">
        <v>62</v>
      </c>
    </row>
    <row r="969" spans="1:3">
      <c r="A969" t="str">
        <f>"931813"</f>
        <v>931813</v>
      </c>
      <c r="B969" t="s">
        <v>4</v>
      </c>
      <c r="C969">
        <v>62</v>
      </c>
    </row>
    <row r="970" spans="1:3">
      <c r="A970" t="str">
        <f>"931814"</f>
        <v>931814</v>
      </c>
      <c r="B970" t="s">
        <v>4</v>
      </c>
      <c r="C970">
        <v>62</v>
      </c>
    </row>
    <row r="971" spans="1:3">
      <c r="A971" t="str">
        <f>"931815"</f>
        <v>931815</v>
      </c>
      <c r="B971" t="s">
        <v>4</v>
      </c>
      <c r="C971">
        <v>62</v>
      </c>
    </row>
    <row r="972" spans="1:3">
      <c r="A972" t="str">
        <f>"931816"</f>
        <v>931816</v>
      </c>
      <c r="B972" t="s">
        <v>4</v>
      </c>
      <c r="C972">
        <v>62</v>
      </c>
    </row>
    <row r="973" spans="1:3">
      <c r="A973" t="str">
        <f>"931817"</f>
        <v>931817</v>
      </c>
      <c r="B973" t="s">
        <v>4</v>
      </c>
      <c r="C973">
        <v>62</v>
      </c>
    </row>
    <row r="974" spans="1:3">
      <c r="A974" t="str">
        <f>"931818"</f>
        <v>931818</v>
      </c>
      <c r="B974" t="s">
        <v>4</v>
      </c>
      <c r="C974">
        <v>62</v>
      </c>
    </row>
    <row r="975" spans="1:3">
      <c r="A975" t="str">
        <f>"931819"</f>
        <v>931819</v>
      </c>
      <c r="B975" t="s">
        <v>4</v>
      </c>
      <c r="C975">
        <v>62</v>
      </c>
    </row>
    <row r="976" spans="1:3">
      <c r="A976" t="str">
        <f>"931820"</f>
        <v>931820</v>
      </c>
      <c r="B976" t="s">
        <v>4</v>
      </c>
      <c r="C976">
        <v>62</v>
      </c>
    </row>
    <row r="977" spans="1:3">
      <c r="A977" t="str">
        <f>"931821"</f>
        <v>931821</v>
      </c>
      <c r="B977" t="s">
        <v>4</v>
      </c>
      <c r="C977">
        <v>62</v>
      </c>
    </row>
    <row r="978" spans="1:3">
      <c r="A978" t="str">
        <f>"931822"</f>
        <v>931822</v>
      </c>
      <c r="B978" t="s">
        <v>4</v>
      </c>
      <c r="C978">
        <v>62</v>
      </c>
    </row>
    <row r="979" spans="1:3">
      <c r="A979" t="str">
        <f>"931823"</f>
        <v>931823</v>
      </c>
      <c r="B979" t="s">
        <v>4</v>
      </c>
      <c r="C979">
        <v>62</v>
      </c>
    </row>
    <row r="980" spans="1:3">
      <c r="A980" t="str">
        <f>"931826"</f>
        <v>931826</v>
      </c>
      <c r="B980" t="s">
        <v>4</v>
      </c>
      <c r="C980">
        <v>62</v>
      </c>
    </row>
    <row r="981" spans="1:3">
      <c r="A981" t="str">
        <f>"931829"</f>
        <v>931829</v>
      </c>
      <c r="B981" t="s">
        <v>4</v>
      </c>
      <c r="C981">
        <v>62</v>
      </c>
    </row>
    <row r="982" spans="1:3">
      <c r="A982" t="str">
        <f>"931830"</f>
        <v>931830</v>
      </c>
      <c r="B982" t="s">
        <v>4</v>
      </c>
      <c r="C982">
        <v>62</v>
      </c>
    </row>
    <row r="983" spans="1:3">
      <c r="A983" t="str">
        <f>"931831"</f>
        <v>931831</v>
      </c>
      <c r="B983" t="s">
        <v>4</v>
      </c>
      <c r="C983">
        <v>62</v>
      </c>
    </row>
    <row r="984" spans="1:3">
      <c r="A984" t="str">
        <f>"931834"</f>
        <v>931834</v>
      </c>
      <c r="B984" t="s">
        <v>4</v>
      </c>
      <c r="C984">
        <v>62</v>
      </c>
    </row>
    <row r="985" spans="1:3">
      <c r="A985" t="str">
        <f>"931836"</f>
        <v>931836</v>
      </c>
      <c r="B985" t="s">
        <v>4</v>
      </c>
      <c r="C985">
        <v>62</v>
      </c>
    </row>
    <row r="986" spans="1:3">
      <c r="A986" t="str">
        <f>"931837"</f>
        <v>931837</v>
      </c>
      <c r="B986" t="s">
        <v>4</v>
      </c>
      <c r="C986">
        <v>62</v>
      </c>
    </row>
    <row r="987" spans="1:3">
      <c r="A987" t="str">
        <f>"931838"</f>
        <v>931838</v>
      </c>
      <c r="B987" t="s">
        <v>4</v>
      </c>
      <c r="C987">
        <v>62</v>
      </c>
    </row>
    <row r="988" spans="1:3">
      <c r="A988" t="str">
        <f>"931840"</f>
        <v>931840</v>
      </c>
      <c r="B988" t="s">
        <v>4</v>
      </c>
      <c r="C988">
        <v>62</v>
      </c>
    </row>
    <row r="989" spans="1:3">
      <c r="A989" t="str">
        <f>"931841"</f>
        <v>931841</v>
      </c>
      <c r="B989" t="s">
        <v>4</v>
      </c>
      <c r="C989">
        <v>62</v>
      </c>
    </row>
    <row r="990" spans="1:3">
      <c r="A990" t="str">
        <f>"931842"</f>
        <v>931842</v>
      </c>
      <c r="B990" t="s">
        <v>4</v>
      </c>
      <c r="C990">
        <v>62</v>
      </c>
    </row>
    <row r="991" spans="1:3">
      <c r="A991" t="str">
        <f>"931843"</f>
        <v>931843</v>
      </c>
      <c r="B991" t="s">
        <v>4</v>
      </c>
      <c r="C991">
        <v>62</v>
      </c>
    </row>
    <row r="992" spans="1:3">
      <c r="A992" t="str">
        <f>"931844"</f>
        <v>931844</v>
      </c>
      <c r="B992" t="s">
        <v>4</v>
      </c>
      <c r="C992">
        <v>62</v>
      </c>
    </row>
    <row r="993" spans="1:3">
      <c r="A993" t="str">
        <f>"931845"</f>
        <v>931845</v>
      </c>
      <c r="B993" t="s">
        <v>4</v>
      </c>
      <c r="C993">
        <v>62</v>
      </c>
    </row>
    <row r="994" spans="1:3">
      <c r="A994" t="str">
        <f>"931847"</f>
        <v>931847</v>
      </c>
      <c r="B994" t="s">
        <v>4</v>
      </c>
      <c r="C994">
        <v>62</v>
      </c>
    </row>
    <row r="995" spans="1:3">
      <c r="A995" t="str">
        <f>"931848"</f>
        <v>931848</v>
      </c>
      <c r="B995" t="s">
        <v>4</v>
      </c>
      <c r="C995">
        <v>62</v>
      </c>
    </row>
    <row r="996" spans="1:3">
      <c r="A996" t="str">
        <f>"931849"</f>
        <v>931849</v>
      </c>
      <c r="B996" t="s">
        <v>4</v>
      </c>
      <c r="C996">
        <v>62</v>
      </c>
    </row>
    <row r="997" spans="1:3">
      <c r="A997" t="str">
        <f>"931850"</f>
        <v>931850</v>
      </c>
      <c r="B997" t="s">
        <v>4</v>
      </c>
      <c r="C997">
        <v>62</v>
      </c>
    </row>
    <row r="998" spans="1:3">
      <c r="A998" t="str">
        <f>"931852"</f>
        <v>931852</v>
      </c>
      <c r="B998" t="s">
        <v>4</v>
      </c>
      <c r="C998">
        <v>62</v>
      </c>
    </row>
    <row r="999" spans="1:3">
      <c r="A999" t="str">
        <f>"931855"</f>
        <v>931855</v>
      </c>
      <c r="B999" t="s">
        <v>4</v>
      </c>
      <c r="C999">
        <v>62</v>
      </c>
    </row>
    <row r="1000" spans="1:3">
      <c r="A1000" t="str">
        <f>"931856"</f>
        <v>931856</v>
      </c>
      <c r="B1000" t="s">
        <v>4</v>
      </c>
      <c r="C1000">
        <v>62</v>
      </c>
    </row>
    <row r="1001" spans="1:3">
      <c r="A1001" t="str">
        <f>"931857"</f>
        <v>931857</v>
      </c>
      <c r="B1001" t="s">
        <v>4</v>
      </c>
      <c r="C1001">
        <v>62</v>
      </c>
    </row>
    <row r="1002" spans="1:3">
      <c r="A1002" t="str">
        <f>"931860"</f>
        <v>931860</v>
      </c>
      <c r="B1002" t="s">
        <v>4</v>
      </c>
      <c r="C1002">
        <v>62</v>
      </c>
    </row>
    <row r="1003" spans="1:3">
      <c r="A1003" t="str">
        <f>"931861"</f>
        <v>931861</v>
      </c>
      <c r="B1003" t="s">
        <v>4</v>
      </c>
      <c r="C1003">
        <v>62</v>
      </c>
    </row>
    <row r="1004" spans="1:3">
      <c r="A1004" t="str">
        <f>"931862"</f>
        <v>931862</v>
      </c>
      <c r="B1004" t="s">
        <v>4</v>
      </c>
      <c r="C1004">
        <v>62</v>
      </c>
    </row>
    <row r="1005" spans="1:3">
      <c r="A1005" t="str">
        <f>"931863"</f>
        <v>931863</v>
      </c>
      <c r="B1005" t="s">
        <v>4</v>
      </c>
      <c r="C1005">
        <v>62</v>
      </c>
    </row>
    <row r="1006" spans="1:3">
      <c r="A1006" t="str">
        <f>"931865"</f>
        <v>931865</v>
      </c>
      <c r="B1006" t="s">
        <v>4</v>
      </c>
      <c r="C1006">
        <v>62</v>
      </c>
    </row>
    <row r="1007" spans="1:3">
      <c r="A1007" t="str">
        <f>"931866"</f>
        <v>931866</v>
      </c>
      <c r="B1007" t="s">
        <v>4</v>
      </c>
      <c r="C1007">
        <v>62</v>
      </c>
    </row>
    <row r="1008" spans="1:3">
      <c r="A1008" t="str">
        <f>"931868"</f>
        <v>931868</v>
      </c>
      <c r="B1008" t="s">
        <v>4</v>
      </c>
      <c r="C1008">
        <v>62</v>
      </c>
    </row>
    <row r="1009" spans="1:3">
      <c r="A1009" t="str">
        <f>"931869"</f>
        <v>931869</v>
      </c>
      <c r="B1009" t="s">
        <v>4</v>
      </c>
      <c r="C1009">
        <v>62</v>
      </c>
    </row>
    <row r="1010" spans="1:3">
      <c r="A1010" t="str">
        <f>"931870"</f>
        <v>931870</v>
      </c>
      <c r="B1010" t="s">
        <v>4</v>
      </c>
      <c r="C1010">
        <v>62</v>
      </c>
    </row>
    <row r="1011" spans="1:3">
      <c r="A1011" t="str">
        <f>"931871"</f>
        <v>931871</v>
      </c>
      <c r="B1011" t="s">
        <v>4</v>
      </c>
      <c r="C1011">
        <v>62</v>
      </c>
    </row>
    <row r="1012" spans="1:3">
      <c r="A1012" t="str">
        <f>"931872"</f>
        <v>931872</v>
      </c>
      <c r="B1012" t="s">
        <v>4</v>
      </c>
      <c r="C1012">
        <v>62</v>
      </c>
    </row>
    <row r="1013" spans="1:3">
      <c r="A1013" t="str">
        <f>"931873"</f>
        <v>931873</v>
      </c>
      <c r="B1013" t="s">
        <v>4</v>
      </c>
      <c r="C1013">
        <v>62</v>
      </c>
    </row>
    <row r="1014" spans="1:3">
      <c r="A1014" t="str">
        <f>"931874"</f>
        <v>931874</v>
      </c>
      <c r="B1014" t="s">
        <v>4</v>
      </c>
      <c r="C1014">
        <v>62</v>
      </c>
    </row>
    <row r="1015" spans="1:3">
      <c r="A1015" t="str">
        <f>"931875"</f>
        <v>931875</v>
      </c>
      <c r="B1015" t="s">
        <v>4</v>
      </c>
      <c r="C1015">
        <v>62</v>
      </c>
    </row>
    <row r="1016" spans="1:3">
      <c r="A1016" t="str">
        <f>"931876"</f>
        <v>931876</v>
      </c>
      <c r="B1016" t="s">
        <v>4</v>
      </c>
      <c r="C1016">
        <v>62</v>
      </c>
    </row>
    <row r="1017" spans="1:3">
      <c r="A1017" t="str">
        <f>"931877"</f>
        <v>931877</v>
      </c>
      <c r="B1017" t="s">
        <v>4</v>
      </c>
      <c r="C1017">
        <v>62</v>
      </c>
    </row>
    <row r="1018" spans="1:3">
      <c r="A1018" t="str">
        <f>"931878"</f>
        <v>931878</v>
      </c>
      <c r="B1018" t="s">
        <v>4</v>
      </c>
      <c r="C1018">
        <v>62</v>
      </c>
    </row>
    <row r="1019" spans="1:3">
      <c r="A1019" t="str">
        <f>"931879"</f>
        <v>931879</v>
      </c>
      <c r="B1019" t="s">
        <v>4</v>
      </c>
      <c r="C1019">
        <v>62</v>
      </c>
    </row>
    <row r="1020" spans="1:3">
      <c r="A1020" t="str">
        <f>"931880"</f>
        <v>931880</v>
      </c>
      <c r="B1020" t="s">
        <v>4</v>
      </c>
      <c r="C1020">
        <v>62</v>
      </c>
    </row>
    <row r="1021" spans="1:3">
      <c r="A1021" t="str">
        <f>"931881"</f>
        <v>931881</v>
      </c>
      <c r="B1021" t="s">
        <v>4</v>
      </c>
      <c r="C1021">
        <v>62</v>
      </c>
    </row>
    <row r="1022" spans="1:3">
      <c r="A1022" t="str">
        <f>"931882"</f>
        <v>931882</v>
      </c>
      <c r="B1022" t="s">
        <v>4</v>
      </c>
      <c r="C1022">
        <v>62</v>
      </c>
    </row>
    <row r="1023" spans="1:3">
      <c r="A1023" t="str">
        <f>"931883"</f>
        <v>931883</v>
      </c>
      <c r="B1023" t="s">
        <v>4</v>
      </c>
      <c r="C1023">
        <v>62</v>
      </c>
    </row>
    <row r="1024" spans="1:3">
      <c r="A1024" t="str">
        <f>"931884"</f>
        <v>931884</v>
      </c>
      <c r="B1024" t="s">
        <v>4</v>
      </c>
      <c r="C1024">
        <v>62</v>
      </c>
    </row>
    <row r="1025" spans="1:3">
      <c r="A1025" t="str">
        <f>"931885"</f>
        <v>931885</v>
      </c>
      <c r="B1025" t="s">
        <v>4</v>
      </c>
      <c r="C1025">
        <v>62</v>
      </c>
    </row>
    <row r="1026" spans="1:3">
      <c r="A1026" t="str">
        <f>"931886"</f>
        <v>931886</v>
      </c>
      <c r="B1026" t="s">
        <v>4</v>
      </c>
      <c r="C1026">
        <v>62</v>
      </c>
    </row>
    <row r="1027" spans="1:3">
      <c r="A1027" t="str">
        <f>"931887"</f>
        <v>931887</v>
      </c>
      <c r="B1027" t="s">
        <v>4</v>
      </c>
      <c r="C1027">
        <v>62</v>
      </c>
    </row>
    <row r="1028" spans="1:3">
      <c r="A1028" t="str">
        <f>"931888"</f>
        <v>931888</v>
      </c>
      <c r="B1028" t="s">
        <v>4</v>
      </c>
      <c r="C1028">
        <v>62</v>
      </c>
    </row>
    <row r="1029" spans="1:3">
      <c r="A1029" t="str">
        <f>"931889"</f>
        <v>931889</v>
      </c>
      <c r="B1029" t="s">
        <v>4</v>
      </c>
      <c r="C1029">
        <v>62</v>
      </c>
    </row>
    <row r="1030" spans="1:3">
      <c r="A1030" t="str">
        <f>"931892"</f>
        <v>931892</v>
      </c>
      <c r="B1030" t="s">
        <v>4</v>
      </c>
      <c r="C1030">
        <v>62</v>
      </c>
    </row>
    <row r="1031" spans="1:3">
      <c r="A1031" t="str">
        <f>"931893"</f>
        <v>931893</v>
      </c>
      <c r="B1031" t="s">
        <v>4</v>
      </c>
      <c r="C1031">
        <v>62</v>
      </c>
    </row>
    <row r="1032" spans="1:3">
      <c r="A1032" t="str">
        <f>"931895"</f>
        <v>931895</v>
      </c>
      <c r="B1032" t="s">
        <v>4</v>
      </c>
      <c r="C1032">
        <v>62</v>
      </c>
    </row>
    <row r="1033" spans="1:3">
      <c r="A1033" t="str">
        <f>"931896"</f>
        <v>931896</v>
      </c>
      <c r="B1033" t="s">
        <v>4</v>
      </c>
      <c r="C1033">
        <v>62</v>
      </c>
    </row>
    <row r="1034" spans="1:3">
      <c r="A1034" t="str">
        <f>"931897"</f>
        <v>931897</v>
      </c>
      <c r="B1034" t="s">
        <v>4</v>
      </c>
      <c r="C1034">
        <v>62</v>
      </c>
    </row>
    <row r="1035" spans="1:3">
      <c r="A1035" t="str">
        <f>"931902"</f>
        <v>931902</v>
      </c>
      <c r="B1035" t="s">
        <v>4</v>
      </c>
      <c r="C1035">
        <v>62</v>
      </c>
    </row>
    <row r="1036" spans="1:3">
      <c r="A1036" t="str">
        <f>"931903"</f>
        <v>931903</v>
      </c>
      <c r="B1036" t="s">
        <v>4</v>
      </c>
      <c r="C1036">
        <v>62</v>
      </c>
    </row>
    <row r="1037" spans="1:3">
      <c r="A1037" t="str">
        <f>"931904"</f>
        <v>931904</v>
      </c>
      <c r="B1037" t="s">
        <v>4</v>
      </c>
      <c r="C1037">
        <v>62</v>
      </c>
    </row>
    <row r="1038" spans="1:3">
      <c r="A1038" t="str">
        <f>"931905"</f>
        <v>931905</v>
      </c>
      <c r="B1038" t="s">
        <v>4</v>
      </c>
      <c r="C1038">
        <v>62</v>
      </c>
    </row>
    <row r="1039" spans="1:3">
      <c r="A1039" t="str">
        <f>"931906"</f>
        <v>931906</v>
      </c>
      <c r="B1039" t="s">
        <v>4</v>
      </c>
      <c r="C1039">
        <v>62</v>
      </c>
    </row>
    <row r="1040" spans="1:3">
      <c r="A1040" t="str">
        <f>"931907"</f>
        <v>931907</v>
      </c>
      <c r="B1040" t="s">
        <v>4</v>
      </c>
      <c r="C1040">
        <v>62</v>
      </c>
    </row>
    <row r="1041" spans="1:3">
      <c r="A1041" t="str">
        <f>"931908"</f>
        <v>931908</v>
      </c>
      <c r="B1041" t="s">
        <v>4</v>
      </c>
      <c r="C1041">
        <v>62</v>
      </c>
    </row>
    <row r="1042" spans="1:3">
      <c r="A1042" t="str">
        <f>"931909"</f>
        <v>931909</v>
      </c>
      <c r="B1042" t="s">
        <v>4</v>
      </c>
      <c r="C1042">
        <v>62</v>
      </c>
    </row>
    <row r="1043" spans="1:3">
      <c r="A1043" t="str">
        <f>"931910"</f>
        <v>931910</v>
      </c>
      <c r="B1043" t="s">
        <v>4</v>
      </c>
      <c r="C1043">
        <v>62</v>
      </c>
    </row>
    <row r="1044" spans="1:3">
      <c r="A1044" t="str">
        <f>"931911"</f>
        <v>931911</v>
      </c>
      <c r="B1044" t="s">
        <v>4</v>
      </c>
      <c r="C1044">
        <v>62</v>
      </c>
    </row>
    <row r="1045" spans="1:3">
      <c r="A1045" t="str">
        <f>"931912"</f>
        <v>931912</v>
      </c>
      <c r="B1045" t="s">
        <v>4</v>
      </c>
      <c r="C1045">
        <v>62</v>
      </c>
    </row>
    <row r="1046" spans="1:3">
      <c r="A1046" t="str">
        <f>"931913"</f>
        <v>931913</v>
      </c>
      <c r="B1046" t="s">
        <v>4</v>
      </c>
      <c r="C1046">
        <v>62</v>
      </c>
    </row>
    <row r="1047" spans="1:3">
      <c r="A1047" t="str">
        <f>"931914"</f>
        <v>931914</v>
      </c>
      <c r="B1047" t="s">
        <v>4</v>
      </c>
      <c r="C1047">
        <v>62</v>
      </c>
    </row>
    <row r="1048" spans="1:3">
      <c r="A1048" t="str">
        <f>"931915"</f>
        <v>931915</v>
      </c>
      <c r="B1048" t="s">
        <v>4</v>
      </c>
      <c r="C1048">
        <v>62</v>
      </c>
    </row>
    <row r="1049" spans="1:3">
      <c r="A1049" t="str">
        <f>"931916"</f>
        <v>931916</v>
      </c>
      <c r="B1049" t="s">
        <v>4</v>
      </c>
      <c r="C1049">
        <v>62</v>
      </c>
    </row>
    <row r="1050" spans="1:3">
      <c r="A1050" t="str">
        <f>"931917"</f>
        <v>931917</v>
      </c>
      <c r="B1050" t="s">
        <v>4</v>
      </c>
      <c r="C1050">
        <v>62</v>
      </c>
    </row>
    <row r="1051" spans="1:3">
      <c r="A1051" t="str">
        <f>"931918"</f>
        <v>931918</v>
      </c>
      <c r="B1051" t="s">
        <v>4</v>
      </c>
      <c r="C1051">
        <v>62</v>
      </c>
    </row>
    <row r="1052" spans="1:3">
      <c r="A1052" t="str">
        <f>"931919"</f>
        <v>931919</v>
      </c>
      <c r="B1052" t="s">
        <v>4</v>
      </c>
      <c r="C1052">
        <v>62</v>
      </c>
    </row>
    <row r="1053" spans="1:3">
      <c r="A1053" t="str">
        <f>"931922"</f>
        <v>931922</v>
      </c>
      <c r="B1053" t="s">
        <v>4</v>
      </c>
      <c r="C1053">
        <v>62</v>
      </c>
    </row>
    <row r="1054" spans="1:3">
      <c r="A1054" t="str">
        <f>"931923"</f>
        <v>931923</v>
      </c>
      <c r="B1054" t="s">
        <v>4</v>
      </c>
      <c r="C1054">
        <v>62</v>
      </c>
    </row>
    <row r="1055" spans="1:3">
      <c r="A1055" t="str">
        <f>"931924"</f>
        <v>931924</v>
      </c>
      <c r="B1055" t="s">
        <v>4</v>
      </c>
      <c r="C1055">
        <v>62</v>
      </c>
    </row>
    <row r="1056" spans="1:3">
      <c r="A1056" t="str">
        <f>"931925"</f>
        <v>931925</v>
      </c>
      <c r="B1056" t="s">
        <v>4</v>
      </c>
      <c r="C1056">
        <v>62</v>
      </c>
    </row>
    <row r="1057" spans="1:3">
      <c r="A1057" t="str">
        <f>"931926"</f>
        <v>931926</v>
      </c>
      <c r="B1057" t="s">
        <v>4</v>
      </c>
      <c r="C1057">
        <v>62</v>
      </c>
    </row>
    <row r="1058" spans="1:3">
      <c r="A1058" t="str">
        <f>"931927"</f>
        <v>931927</v>
      </c>
      <c r="B1058" t="s">
        <v>4</v>
      </c>
      <c r="C1058">
        <v>62</v>
      </c>
    </row>
    <row r="1059" spans="1:3">
      <c r="A1059" t="str">
        <f>"931928"</f>
        <v>931928</v>
      </c>
      <c r="B1059" t="s">
        <v>4</v>
      </c>
      <c r="C1059">
        <v>62</v>
      </c>
    </row>
    <row r="1060" spans="1:3">
      <c r="A1060" t="str">
        <f>"931929"</f>
        <v>931929</v>
      </c>
      <c r="B1060" t="s">
        <v>4</v>
      </c>
      <c r="C1060">
        <v>62</v>
      </c>
    </row>
    <row r="1061" spans="1:3">
      <c r="A1061" t="str">
        <f>"931931"</f>
        <v>931931</v>
      </c>
      <c r="B1061" t="s">
        <v>4</v>
      </c>
      <c r="C1061">
        <v>62</v>
      </c>
    </row>
    <row r="1062" spans="1:3">
      <c r="A1062" t="str">
        <f>"931932"</f>
        <v>931932</v>
      </c>
      <c r="B1062" t="s">
        <v>4</v>
      </c>
      <c r="C1062">
        <v>62</v>
      </c>
    </row>
    <row r="1063" spans="1:3">
      <c r="A1063" t="str">
        <f>"931933"</f>
        <v>931933</v>
      </c>
      <c r="B1063" t="s">
        <v>4</v>
      </c>
      <c r="C1063">
        <v>62</v>
      </c>
    </row>
    <row r="1064" spans="1:3">
      <c r="A1064" t="str">
        <f>"931934"</f>
        <v>931934</v>
      </c>
      <c r="B1064" t="s">
        <v>4</v>
      </c>
      <c r="C1064">
        <v>62</v>
      </c>
    </row>
    <row r="1065" spans="1:3">
      <c r="A1065" t="str">
        <f>"931935"</f>
        <v>931935</v>
      </c>
      <c r="B1065" t="s">
        <v>4</v>
      </c>
      <c r="C1065">
        <v>62</v>
      </c>
    </row>
    <row r="1066" spans="1:3">
      <c r="A1066" t="str">
        <f>"931936"</f>
        <v>931936</v>
      </c>
      <c r="B1066" t="s">
        <v>4</v>
      </c>
      <c r="C1066">
        <v>62</v>
      </c>
    </row>
    <row r="1067" spans="1:3">
      <c r="A1067" t="str">
        <f>"931937"</f>
        <v>931937</v>
      </c>
      <c r="B1067" t="s">
        <v>4</v>
      </c>
      <c r="C1067">
        <v>62</v>
      </c>
    </row>
    <row r="1068" spans="1:3">
      <c r="A1068" t="str">
        <f>"931938"</f>
        <v>931938</v>
      </c>
      <c r="B1068" t="s">
        <v>4</v>
      </c>
      <c r="C1068">
        <v>62</v>
      </c>
    </row>
    <row r="1069" spans="1:3">
      <c r="A1069" t="str">
        <f>"931939"</f>
        <v>931939</v>
      </c>
      <c r="B1069" t="s">
        <v>4</v>
      </c>
      <c r="C1069">
        <v>62</v>
      </c>
    </row>
    <row r="1070" spans="1:3">
      <c r="A1070" t="str">
        <f>"931940"</f>
        <v>931940</v>
      </c>
      <c r="B1070" t="s">
        <v>4</v>
      </c>
      <c r="C1070">
        <v>62</v>
      </c>
    </row>
    <row r="1071" spans="1:3">
      <c r="A1071" t="str">
        <f>"931941"</f>
        <v>931941</v>
      </c>
      <c r="B1071" t="s">
        <v>4</v>
      </c>
      <c r="C1071">
        <v>62</v>
      </c>
    </row>
    <row r="1072" spans="1:3">
      <c r="A1072" t="str">
        <f>"931944"</f>
        <v>931944</v>
      </c>
      <c r="B1072" t="s">
        <v>4</v>
      </c>
      <c r="C1072">
        <v>62</v>
      </c>
    </row>
    <row r="1073" spans="1:3">
      <c r="A1073" t="str">
        <f>"931945"</f>
        <v>931945</v>
      </c>
      <c r="B1073" t="s">
        <v>4</v>
      </c>
      <c r="C1073">
        <v>62</v>
      </c>
    </row>
    <row r="1074" spans="1:3">
      <c r="A1074" t="str">
        <f>"931946"</f>
        <v>931946</v>
      </c>
      <c r="B1074" t="s">
        <v>4</v>
      </c>
      <c r="C1074">
        <v>62</v>
      </c>
    </row>
    <row r="1075" spans="1:3">
      <c r="A1075" t="str">
        <f>"931987"</f>
        <v>931987</v>
      </c>
      <c r="B1075" t="s">
        <v>4</v>
      </c>
      <c r="C1075">
        <v>62</v>
      </c>
    </row>
    <row r="1076" spans="1:3">
      <c r="A1076" t="str">
        <f>"931988"</f>
        <v>931988</v>
      </c>
      <c r="B1076" t="s">
        <v>4</v>
      </c>
      <c r="C1076">
        <v>62</v>
      </c>
    </row>
    <row r="1077" spans="1:3">
      <c r="A1077" t="str">
        <f>"931992"</f>
        <v>931992</v>
      </c>
      <c r="B1077" t="s">
        <v>4</v>
      </c>
      <c r="C1077">
        <v>62</v>
      </c>
    </row>
    <row r="1078" spans="1:3">
      <c r="A1078" t="str">
        <f>"931993"</f>
        <v>931993</v>
      </c>
      <c r="B1078" t="s">
        <v>4</v>
      </c>
      <c r="C1078">
        <v>62</v>
      </c>
    </row>
    <row r="1079" spans="1:3">
      <c r="A1079" t="str">
        <f>"931994"</f>
        <v>931994</v>
      </c>
      <c r="B1079" t="s">
        <v>4</v>
      </c>
      <c r="C1079">
        <v>62</v>
      </c>
    </row>
    <row r="1080" spans="1:3">
      <c r="A1080" t="str">
        <f>"931995"</f>
        <v>931995</v>
      </c>
      <c r="B1080" t="s">
        <v>4</v>
      </c>
      <c r="C1080">
        <v>62</v>
      </c>
    </row>
    <row r="1081" spans="1:3">
      <c r="A1081" t="str">
        <f>"931997"</f>
        <v>931997</v>
      </c>
      <c r="B1081" t="s">
        <v>4</v>
      </c>
      <c r="C1081">
        <v>62</v>
      </c>
    </row>
    <row r="1082" spans="1:3">
      <c r="A1082" t="str">
        <f>"932000"</f>
        <v>932000</v>
      </c>
      <c r="B1082" t="s">
        <v>4</v>
      </c>
      <c r="C1082">
        <v>62</v>
      </c>
    </row>
    <row r="1083" spans="1:3">
      <c r="A1083" t="str">
        <f>"932000CNY010"</f>
        <v>932000CNY010</v>
      </c>
      <c r="B1083" t="s">
        <v>4</v>
      </c>
      <c r="C1083">
        <v>62</v>
      </c>
    </row>
    <row r="1084" spans="1:3">
      <c r="A1084" t="str">
        <f>"932001"</f>
        <v>932001</v>
      </c>
      <c r="B1084" t="s">
        <v>4</v>
      </c>
      <c r="C1084">
        <v>62</v>
      </c>
    </row>
    <row r="1085" spans="1:3">
      <c r="A1085" t="str">
        <f>"932002"</f>
        <v>932002</v>
      </c>
      <c r="B1085" t="s">
        <v>4</v>
      </c>
      <c r="C1085">
        <v>62</v>
      </c>
    </row>
    <row r="1086" spans="1:3">
      <c r="A1086" t="str">
        <f>"932003"</f>
        <v>932003</v>
      </c>
      <c r="B1086" t="s">
        <v>4</v>
      </c>
      <c r="C1086">
        <v>62</v>
      </c>
    </row>
    <row r="1087" spans="1:3">
      <c r="A1087" t="str">
        <f>"932004"</f>
        <v>932004</v>
      </c>
      <c r="B1087" t="s">
        <v>4</v>
      </c>
      <c r="C1087">
        <v>62</v>
      </c>
    </row>
    <row r="1088" spans="1:3">
      <c r="A1088" t="str">
        <f>"932006"</f>
        <v>932006</v>
      </c>
      <c r="B1088" t="s">
        <v>4</v>
      </c>
      <c r="C1088">
        <v>62</v>
      </c>
    </row>
    <row r="1089" spans="1:3">
      <c r="A1089" t="str">
        <f>"932011"</f>
        <v>932011</v>
      </c>
      <c r="B1089" t="s">
        <v>4</v>
      </c>
      <c r="C1089">
        <v>62</v>
      </c>
    </row>
    <row r="1090" spans="1:3">
      <c r="A1090" t="str">
        <f>"932012"</f>
        <v>932012</v>
      </c>
      <c r="B1090" t="s">
        <v>4</v>
      </c>
      <c r="C1090">
        <v>62</v>
      </c>
    </row>
    <row r="1091" spans="1:3">
      <c r="A1091" t="str">
        <f>"932013"</f>
        <v>932013</v>
      </c>
      <c r="B1091" t="s">
        <v>4</v>
      </c>
      <c r="C1091">
        <v>62</v>
      </c>
    </row>
    <row r="1092" spans="1:3">
      <c r="A1092" t="str">
        <f>"932014"</f>
        <v>932014</v>
      </c>
      <c r="B1092" t="s">
        <v>4</v>
      </c>
      <c r="C1092">
        <v>62</v>
      </c>
    </row>
    <row r="1093" spans="1:3">
      <c r="A1093" t="str">
        <f>"932015"</f>
        <v>932015</v>
      </c>
      <c r="B1093" t="s">
        <v>4</v>
      </c>
      <c r="C1093">
        <v>62</v>
      </c>
    </row>
    <row r="1094" spans="1:3">
      <c r="A1094" t="str">
        <f>"932016"</f>
        <v>932016</v>
      </c>
      <c r="B1094" t="s">
        <v>4</v>
      </c>
      <c r="C1094">
        <v>62</v>
      </c>
    </row>
    <row r="1095" spans="1:3">
      <c r="A1095" t="str">
        <f>"932017"</f>
        <v>932017</v>
      </c>
      <c r="B1095" t="s">
        <v>4</v>
      </c>
      <c r="C1095">
        <v>62</v>
      </c>
    </row>
    <row r="1096" spans="1:3">
      <c r="A1096" t="str">
        <f>"932017CNY01"</f>
        <v>932017CNY01</v>
      </c>
      <c r="B1096" t="s">
        <v>4</v>
      </c>
      <c r="C1096">
        <v>62</v>
      </c>
    </row>
    <row r="1097" spans="1:3">
      <c r="A1097" t="str">
        <f>"932018"</f>
        <v>932018</v>
      </c>
      <c r="B1097" t="s">
        <v>4</v>
      </c>
      <c r="C1097">
        <v>62</v>
      </c>
    </row>
    <row r="1098" spans="1:3">
      <c r="A1098" t="str">
        <f>"932018CNY01"</f>
        <v>932018CNY01</v>
      </c>
      <c r="B1098" t="s">
        <v>4</v>
      </c>
      <c r="C1098">
        <v>62</v>
      </c>
    </row>
    <row r="1099" spans="1:3">
      <c r="A1099" t="str">
        <f>"932019"</f>
        <v>932019</v>
      </c>
      <c r="B1099" t="s">
        <v>4</v>
      </c>
      <c r="C1099">
        <v>62</v>
      </c>
    </row>
    <row r="1100" spans="1:3">
      <c r="A1100" t="str">
        <f>"932019CNY01"</f>
        <v>932019CNY01</v>
      </c>
      <c r="B1100" t="s">
        <v>4</v>
      </c>
      <c r="C1100">
        <v>62</v>
      </c>
    </row>
    <row r="1101" spans="1:3">
      <c r="A1101" t="str">
        <f>"932020"</f>
        <v>932020</v>
      </c>
      <c r="B1101" t="s">
        <v>4</v>
      </c>
      <c r="C1101">
        <v>62</v>
      </c>
    </row>
    <row r="1102" spans="1:3">
      <c r="A1102" t="str">
        <f>"932020CNY01"</f>
        <v>932020CNY01</v>
      </c>
      <c r="B1102" t="s">
        <v>4</v>
      </c>
      <c r="C1102">
        <v>62</v>
      </c>
    </row>
    <row r="1103" spans="1:3">
      <c r="A1103" t="str">
        <f>"932021"</f>
        <v>932021</v>
      </c>
      <c r="B1103" t="s">
        <v>4</v>
      </c>
      <c r="C1103">
        <v>62</v>
      </c>
    </row>
    <row r="1104" spans="1:3">
      <c r="A1104" t="str">
        <f>"932022"</f>
        <v>932022</v>
      </c>
      <c r="B1104" t="s">
        <v>4</v>
      </c>
      <c r="C1104">
        <v>62</v>
      </c>
    </row>
    <row r="1105" spans="1:3">
      <c r="A1105" t="str">
        <f>"932023"</f>
        <v>932023</v>
      </c>
      <c r="B1105" t="s">
        <v>4</v>
      </c>
      <c r="C1105">
        <v>62</v>
      </c>
    </row>
    <row r="1106" spans="1:3">
      <c r="A1106" t="str">
        <f>"932024"</f>
        <v>932024</v>
      </c>
      <c r="B1106" t="s">
        <v>4</v>
      </c>
      <c r="C1106">
        <v>62</v>
      </c>
    </row>
    <row r="1107" spans="1:3">
      <c r="A1107" t="str">
        <f>"932025"</f>
        <v>932025</v>
      </c>
      <c r="B1107" t="s">
        <v>4</v>
      </c>
      <c r="C1107">
        <v>62</v>
      </c>
    </row>
    <row r="1108" spans="1:3">
      <c r="A1108" t="str">
        <f>"932028"</f>
        <v>932028</v>
      </c>
      <c r="B1108" t="s">
        <v>4</v>
      </c>
      <c r="C1108">
        <v>62</v>
      </c>
    </row>
    <row r="1109" spans="1:3">
      <c r="A1109" t="str">
        <f>"932029"</f>
        <v>932029</v>
      </c>
      <c r="B1109" t="s">
        <v>4</v>
      </c>
      <c r="C1109">
        <v>62</v>
      </c>
    </row>
    <row r="1110" spans="1:3">
      <c r="A1110" t="str">
        <f>"932030"</f>
        <v>932030</v>
      </c>
      <c r="B1110" t="s">
        <v>4</v>
      </c>
      <c r="C1110">
        <v>62</v>
      </c>
    </row>
    <row r="1111" spans="1:3">
      <c r="A1111" t="str">
        <f>"932031"</f>
        <v>932031</v>
      </c>
      <c r="B1111" t="s">
        <v>4</v>
      </c>
      <c r="C1111">
        <v>62</v>
      </c>
    </row>
    <row r="1112" spans="1:3">
      <c r="A1112" t="str">
        <f>"932032"</f>
        <v>932032</v>
      </c>
      <c r="B1112" t="s">
        <v>4</v>
      </c>
      <c r="C1112">
        <v>62</v>
      </c>
    </row>
    <row r="1113" spans="1:3">
      <c r="A1113" t="str">
        <f>"932033"</f>
        <v>932033</v>
      </c>
      <c r="B1113" t="s">
        <v>4</v>
      </c>
      <c r="C1113">
        <v>62</v>
      </c>
    </row>
    <row r="1114" spans="1:3">
      <c r="A1114" t="str">
        <f>"932034"</f>
        <v>932034</v>
      </c>
      <c r="B1114" t="s">
        <v>4</v>
      </c>
      <c r="C1114">
        <v>62</v>
      </c>
    </row>
    <row r="1115" spans="1:3">
      <c r="A1115" t="str">
        <f>"932035"</f>
        <v>932035</v>
      </c>
      <c r="B1115" t="s">
        <v>4</v>
      </c>
      <c r="C1115">
        <v>62</v>
      </c>
    </row>
    <row r="1116" spans="1:3">
      <c r="A1116" t="str">
        <f>"932036"</f>
        <v>932036</v>
      </c>
      <c r="B1116" t="s">
        <v>4</v>
      </c>
      <c r="C1116">
        <v>62</v>
      </c>
    </row>
    <row r="1117" spans="1:3">
      <c r="A1117" t="str">
        <f>"932037"</f>
        <v>932037</v>
      </c>
      <c r="B1117" t="s">
        <v>4</v>
      </c>
      <c r="C1117">
        <v>62</v>
      </c>
    </row>
    <row r="1118" spans="1:3">
      <c r="A1118" t="str">
        <f>"932038"</f>
        <v>932038</v>
      </c>
      <c r="B1118" t="s">
        <v>4</v>
      </c>
      <c r="C1118">
        <v>62</v>
      </c>
    </row>
    <row r="1119" spans="1:3">
      <c r="A1119" t="str">
        <f>"932039"</f>
        <v>932039</v>
      </c>
      <c r="B1119" t="s">
        <v>4</v>
      </c>
      <c r="C1119">
        <v>62</v>
      </c>
    </row>
    <row r="1120" spans="1:3">
      <c r="A1120" t="str">
        <f>"932039CNY01"</f>
        <v>932039CNY01</v>
      </c>
      <c r="B1120" t="s">
        <v>4</v>
      </c>
      <c r="C1120">
        <v>62</v>
      </c>
    </row>
    <row r="1121" spans="1:3">
      <c r="A1121" t="str">
        <f>"932042"</f>
        <v>932042</v>
      </c>
      <c r="B1121" t="s">
        <v>4</v>
      </c>
      <c r="C1121">
        <v>62</v>
      </c>
    </row>
    <row r="1122" spans="1:3">
      <c r="A1122" t="str">
        <f>"932044"</f>
        <v>932044</v>
      </c>
      <c r="B1122" t="s">
        <v>4</v>
      </c>
      <c r="C1122">
        <v>62</v>
      </c>
    </row>
    <row r="1123" spans="1:3">
      <c r="A1123" t="str">
        <f>"932045"</f>
        <v>932045</v>
      </c>
      <c r="B1123" t="s">
        <v>4</v>
      </c>
      <c r="C1123">
        <v>62</v>
      </c>
    </row>
    <row r="1124" spans="1:3">
      <c r="A1124" t="str">
        <f>"932046"</f>
        <v>932046</v>
      </c>
      <c r="B1124" t="s">
        <v>4</v>
      </c>
      <c r="C1124">
        <v>62</v>
      </c>
    </row>
    <row r="1125" spans="1:3">
      <c r="A1125" t="str">
        <f>"932047"</f>
        <v>932047</v>
      </c>
      <c r="B1125" t="s">
        <v>4</v>
      </c>
      <c r="C1125">
        <v>62</v>
      </c>
    </row>
    <row r="1126" spans="1:3">
      <c r="A1126" t="str">
        <f>"932048"</f>
        <v>932048</v>
      </c>
      <c r="B1126" t="s">
        <v>4</v>
      </c>
      <c r="C1126">
        <v>62</v>
      </c>
    </row>
    <row r="1127" spans="1:3">
      <c r="A1127" t="str">
        <f>"932049"</f>
        <v>932049</v>
      </c>
      <c r="B1127" t="s">
        <v>4</v>
      </c>
      <c r="C1127">
        <v>62</v>
      </c>
    </row>
    <row r="1128" spans="1:3">
      <c r="A1128" t="str">
        <f>"932051"</f>
        <v>932051</v>
      </c>
      <c r="B1128" t="s">
        <v>4</v>
      </c>
      <c r="C1128">
        <v>62</v>
      </c>
    </row>
    <row r="1129" spans="1:3">
      <c r="A1129" t="str">
        <f>"932052"</f>
        <v>932052</v>
      </c>
      <c r="B1129" t="s">
        <v>4</v>
      </c>
      <c r="C1129">
        <v>62</v>
      </c>
    </row>
    <row r="1130" spans="1:3">
      <c r="A1130" t="str">
        <f>"932055"</f>
        <v>932055</v>
      </c>
      <c r="B1130" t="s">
        <v>4</v>
      </c>
      <c r="C1130">
        <v>62</v>
      </c>
    </row>
    <row r="1131" spans="1:3">
      <c r="A1131" t="str">
        <f>"932056"</f>
        <v>932056</v>
      </c>
      <c r="B1131" t="s">
        <v>4</v>
      </c>
      <c r="C1131">
        <v>62</v>
      </c>
    </row>
    <row r="1132" spans="1:3">
      <c r="A1132" t="str">
        <f>"932058"</f>
        <v>932058</v>
      </c>
      <c r="B1132" t="s">
        <v>4</v>
      </c>
      <c r="C1132">
        <v>62</v>
      </c>
    </row>
    <row r="1133" spans="1:3">
      <c r="A1133" t="str">
        <f>"932059"</f>
        <v>932059</v>
      </c>
      <c r="B1133" t="s">
        <v>4</v>
      </c>
      <c r="C1133">
        <v>62</v>
      </c>
    </row>
    <row r="1134" spans="1:3">
      <c r="A1134" t="str">
        <f>"932060"</f>
        <v>932060</v>
      </c>
      <c r="B1134" t="s">
        <v>4</v>
      </c>
      <c r="C1134">
        <v>62</v>
      </c>
    </row>
    <row r="1135" spans="1:3">
      <c r="A1135" t="str">
        <f>"932061"</f>
        <v>932061</v>
      </c>
      <c r="B1135" t="s">
        <v>4</v>
      </c>
      <c r="C1135">
        <v>62</v>
      </c>
    </row>
    <row r="1136" spans="1:3">
      <c r="A1136" t="str">
        <f>"932062"</f>
        <v>932062</v>
      </c>
      <c r="B1136" t="s">
        <v>4</v>
      </c>
      <c r="C1136">
        <v>62</v>
      </c>
    </row>
    <row r="1137" spans="1:3">
      <c r="A1137" t="str">
        <f>"932065"</f>
        <v>932065</v>
      </c>
      <c r="B1137" t="s">
        <v>4</v>
      </c>
      <c r="C1137">
        <v>62</v>
      </c>
    </row>
    <row r="1138" spans="1:3">
      <c r="A1138" t="str">
        <f>"932066"</f>
        <v>932066</v>
      </c>
      <c r="B1138" t="s">
        <v>4</v>
      </c>
      <c r="C1138">
        <v>62</v>
      </c>
    </row>
    <row r="1139" spans="1:3">
      <c r="A1139" t="str">
        <f>"932067"</f>
        <v>932067</v>
      </c>
      <c r="B1139" t="s">
        <v>4</v>
      </c>
      <c r="C1139">
        <v>62</v>
      </c>
    </row>
    <row r="1140" spans="1:3">
      <c r="A1140" t="str">
        <f>"932068"</f>
        <v>932068</v>
      </c>
      <c r="B1140" t="s">
        <v>4</v>
      </c>
      <c r="C1140">
        <v>62</v>
      </c>
    </row>
    <row r="1141" spans="1:3">
      <c r="A1141" t="str">
        <f>"932069"</f>
        <v>932069</v>
      </c>
      <c r="B1141" t="s">
        <v>4</v>
      </c>
      <c r="C1141">
        <v>62</v>
      </c>
    </row>
    <row r="1142" spans="1:3">
      <c r="A1142" t="str">
        <f>"932070"</f>
        <v>932070</v>
      </c>
      <c r="B1142" t="s">
        <v>4</v>
      </c>
      <c r="C1142">
        <v>62</v>
      </c>
    </row>
    <row r="1143" spans="1:3">
      <c r="A1143" t="str">
        <f>"932071"</f>
        <v>932071</v>
      </c>
      <c r="B1143" t="s">
        <v>4</v>
      </c>
      <c r="C1143">
        <v>62</v>
      </c>
    </row>
    <row r="1144" spans="1:3">
      <c r="A1144" t="str">
        <f>"932072"</f>
        <v>932072</v>
      </c>
      <c r="B1144" t="s">
        <v>4</v>
      </c>
      <c r="C1144">
        <v>62</v>
      </c>
    </row>
    <row r="1145" spans="1:3">
      <c r="A1145" t="str">
        <f>"932072CNY01"</f>
        <v>932072CNY01</v>
      </c>
      <c r="B1145" t="s">
        <v>4</v>
      </c>
      <c r="C1145">
        <v>62</v>
      </c>
    </row>
    <row r="1146" spans="1:3">
      <c r="A1146" t="str">
        <f>"932073"</f>
        <v>932073</v>
      </c>
      <c r="B1146" t="s">
        <v>4</v>
      </c>
      <c r="C1146">
        <v>62</v>
      </c>
    </row>
    <row r="1147" spans="1:3">
      <c r="A1147" t="str">
        <f>"932075"</f>
        <v>932075</v>
      </c>
      <c r="B1147" t="s">
        <v>4</v>
      </c>
      <c r="C1147">
        <v>62</v>
      </c>
    </row>
    <row r="1148" spans="1:3">
      <c r="A1148" t="str">
        <f>"932076"</f>
        <v>932076</v>
      </c>
      <c r="B1148" t="s">
        <v>4</v>
      </c>
      <c r="C1148">
        <v>62</v>
      </c>
    </row>
    <row r="1149" spans="1:3">
      <c r="A1149" t="str">
        <f>"932077"</f>
        <v>932077</v>
      </c>
      <c r="B1149" t="s">
        <v>4</v>
      </c>
      <c r="C1149">
        <v>62</v>
      </c>
    </row>
    <row r="1150" spans="1:3">
      <c r="A1150" t="str">
        <f>"932078"</f>
        <v>932078</v>
      </c>
      <c r="B1150" t="s">
        <v>4</v>
      </c>
      <c r="C1150">
        <v>62</v>
      </c>
    </row>
    <row r="1151" spans="1:3">
      <c r="A1151" t="str">
        <f>"932079"</f>
        <v>932079</v>
      </c>
      <c r="B1151" t="s">
        <v>4</v>
      </c>
      <c r="C1151">
        <v>62</v>
      </c>
    </row>
    <row r="1152" spans="1:3">
      <c r="A1152" t="str">
        <f>"932080"</f>
        <v>932080</v>
      </c>
      <c r="B1152" t="s">
        <v>4</v>
      </c>
      <c r="C1152">
        <v>62</v>
      </c>
    </row>
    <row r="1153" spans="1:3">
      <c r="A1153" t="str">
        <f>"932081"</f>
        <v>932081</v>
      </c>
      <c r="B1153" t="s">
        <v>4</v>
      </c>
      <c r="C1153">
        <v>62</v>
      </c>
    </row>
    <row r="1154" spans="1:3">
      <c r="A1154" t="str">
        <f>"932082"</f>
        <v>932082</v>
      </c>
      <c r="B1154" t="s">
        <v>4</v>
      </c>
      <c r="C1154">
        <v>62</v>
      </c>
    </row>
    <row r="1155" spans="1:3">
      <c r="A1155" t="str">
        <f>"932083"</f>
        <v>932083</v>
      </c>
      <c r="B1155" t="s">
        <v>4</v>
      </c>
      <c r="C1155">
        <v>62</v>
      </c>
    </row>
    <row r="1156" spans="1:3">
      <c r="A1156" t="str">
        <f>"932084"</f>
        <v>932084</v>
      </c>
      <c r="B1156" t="s">
        <v>4</v>
      </c>
      <c r="C1156">
        <v>62</v>
      </c>
    </row>
    <row r="1157" spans="1:3">
      <c r="A1157" t="str">
        <f>"932085"</f>
        <v>932085</v>
      </c>
      <c r="B1157" t="s">
        <v>4</v>
      </c>
      <c r="C1157">
        <v>62</v>
      </c>
    </row>
    <row r="1158" spans="1:3">
      <c r="A1158" t="str">
        <f>"932086"</f>
        <v>932086</v>
      </c>
      <c r="B1158" t="s">
        <v>4</v>
      </c>
      <c r="C1158">
        <v>62</v>
      </c>
    </row>
    <row r="1159" spans="1:3">
      <c r="A1159" t="str">
        <f>"932087"</f>
        <v>932087</v>
      </c>
      <c r="B1159" t="s">
        <v>4</v>
      </c>
      <c r="C1159">
        <v>62</v>
      </c>
    </row>
    <row r="1160" spans="1:3">
      <c r="A1160" t="str">
        <f>"932088"</f>
        <v>932088</v>
      </c>
      <c r="B1160" t="s">
        <v>4</v>
      </c>
      <c r="C1160">
        <v>62</v>
      </c>
    </row>
    <row r="1161" spans="1:3">
      <c r="A1161" t="str">
        <f>"932089"</f>
        <v>932089</v>
      </c>
      <c r="B1161" t="s">
        <v>4</v>
      </c>
      <c r="C1161">
        <v>62</v>
      </c>
    </row>
    <row r="1162" spans="1:3">
      <c r="A1162" t="str">
        <f>"932090"</f>
        <v>932090</v>
      </c>
      <c r="B1162" t="s">
        <v>4</v>
      </c>
      <c r="C1162">
        <v>62</v>
      </c>
    </row>
    <row r="1163" spans="1:3">
      <c r="A1163" t="str">
        <f>"932091"</f>
        <v>932091</v>
      </c>
      <c r="B1163" t="s">
        <v>4</v>
      </c>
      <c r="C1163">
        <v>62</v>
      </c>
    </row>
    <row r="1164" spans="1:3">
      <c r="A1164" t="str">
        <f>"932092"</f>
        <v>932092</v>
      </c>
      <c r="B1164" t="s">
        <v>4</v>
      </c>
      <c r="C1164">
        <v>62</v>
      </c>
    </row>
    <row r="1165" spans="1:3">
      <c r="A1165" t="str">
        <f>"932093"</f>
        <v>932093</v>
      </c>
      <c r="B1165" t="s">
        <v>4</v>
      </c>
      <c r="C1165">
        <v>62</v>
      </c>
    </row>
    <row r="1166" spans="1:3">
      <c r="A1166" t="str">
        <f>"932094"</f>
        <v>932094</v>
      </c>
      <c r="B1166" t="s">
        <v>4</v>
      </c>
      <c r="C1166">
        <v>62</v>
      </c>
    </row>
    <row r="1167" spans="1:3">
      <c r="A1167" t="str">
        <f>"932097"</f>
        <v>932097</v>
      </c>
      <c r="B1167" t="s">
        <v>4</v>
      </c>
      <c r="C1167">
        <v>62</v>
      </c>
    </row>
    <row r="1168" spans="1:3">
      <c r="A1168" t="str">
        <f>"932098"</f>
        <v>932098</v>
      </c>
      <c r="B1168" t="s">
        <v>4</v>
      </c>
      <c r="C1168">
        <v>62</v>
      </c>
    </row>
    <row r="1169" spans="1:3">
      <c r="A1169" t="str">
        <f>"932099"</f>
        <v>932099</v>
      </c>
      <c r="B1169" t="s">
        <v>4</v>
      </c>
      <c r="C1169">
        <v>62</v>
      </c>
    </row>
    <row r="1170" spans="1:3">
      <c r="A1170" t="str">
        <f>"932100"</f>
        <v>932100</v>
      </c>
      <c r="B1170" t="s">
        <v>4</v>
      </c>
      <c r="C1170">
        <v>62</v>
      </c>
    </row>
    <row r="1171" spans="1:3">
      <c r="A1171" t="str">
        <f>"932101"</f>
        <v>932101</v>
      </c>
      <c r="B1171" t="s">
        <v>4</v>
      </c>
      <c r="C1171">
        <v>62</v>
      </c>
    </row>
    <row r="1172" spans="1:3">
      <c r="A1172" t="str">
        <f>"932102"</f>
        <v>932102</v>
      </c>
      <c r="B1172" t="s">
        <v>4</v>
      </c>
      <c r="C1172">
        <v>62</v>
      </c>
    </row>
    <row r="1173" spans="1:3">
      <c r="A1173" t="str">
        <f>"932103"</f>
        <v>932103</v>
      </c>
      <c r="B1173" t="s">
        <v>4</v>
      </c>
      <c r="C1173">
        <v>62</v>
      </c>
    </row>
    <row r="1174" spans="1:3">
      <c r="A1174" t="str">
        <f>"932104"</f>
        <v>932104</v>
      </c>
      <c r="B1174" t="s">
        <v>4</v>
      </c>
      <c r="C1174">
        <v>62</v>
      </c>
    </row>
    <row r="1175" spans="1:3">
      <c r="A1175" t="str">
        <f>"932105"</f>
        <v>932105</v>
      </c>
      <c r="B1175" t="s">
        <v>4</v>
      </c>
      <c r="C1175">
        <v>62</v>
      </c>
    </row>
    <row r="1176" spans="1:3">
      <c r="A1176" t="str">
        <f>"932106"</f>
        <v>932106</v>
      </c>
      <c r="B1176" t="s">
        <v>4</v>
      </c>
      <c r="C1176">
        <v>62</v>
      </c>
    </row>
    <row r="1177" spans="1:3">
      <c r="A1177" t="str">
        <f>"932107"</f>
        <v>932107</v>
      </c>
      <c r="B1177" t="s">
        <v>4</v>
      </c>
      <c r="C1177">
        <v>62</v>
      </c>
    </row>
    <row r="1178" spans="1:3">
      <c r="A1178" t="str">
        <f>"932108"</f>
        <v>932108</v>
      </c>
      <c r="B1178" t="s">
        <v>4</v>
      </c>
      <c r="C1178">
        <v>62</v>
      </c>
    </row>
    <row r="1179" spans="1:3">
      <c r="A1179" t="str">
        <f>"932109"</f>
        <v>932109</v>
      </c>
      <c r="B1179" t="s">
        <v>4</v>
      </c>
      <c r="C1179">
        <v>62</v>
      </c>
    </row>
    <row r="1180" spans="1:3">
      <c r="A1180" t="str">
        <f>"932110"</f>
        <v>932110</v>
      </c>
      <c r="B1180" t="s">
        <v>4</v>
      </c>
      <c r="C1180">
        <v>62</v>
      </c>
    </row>
    <row r="1181" spans="1:3">
      <c r="A1181" t="str">
        <f>"932111"</f>
        <v>932111</v>
      </c>
      <c r="B1181" t="s">
        <v>4</v>
      </c>
      <c r="C1181">
        <v>62</v>
      </c>
    </row>
    <row r="1182" spans="1:3">
      <c r="A1182" t="str">
        <f>"932112"</f>
        <v>932112</v>
      </c>
      <c r="B1182" t="s">
        <v>4</v>
      </c>
      <c r="C1182">
        <v>62</v>
      </c>
    </row>
    <row r="1183" spans="1:3">
      <c r="A1183" t="str">
        <f>"932113"</f>
        <v>932113</v>
      </c>
      <c r="B1183" t="s">
        <v>4</v>
      </c>
      <c r="C1183">
        <v>62</v>
      </c>
    </row>
    <row r="1184" spans="1:3">
      <c r="A1184" t="str">
        <f>"932114"</f>
        <v>932114</v>
      </c>
      <c r="B1184" t="s">
        <v>4</v>
      </c>
      <c r="C1184">
        <v>62</v>
      </c>
    </row>
    <row r="1185" spans="1:3">
      <c r="A1185" t="str">
        <f>"932115"</f>
        <v>932115</v>
      </c>
      <c r="B1185" t="s">
        <v>4</v>
      </c>
      <c r="C1185">
        <v>62</v>
      </c>
    </row>
    <row r="1186" spans="1:3">
      <c r="A1186" t="str">
        <f>"932116"</f>
        <v>932116</v>
      </c>
      <c r="B1186" t="s">
        <v>4</v>
      </c>
      <c r="C1186">
        <v>62</v>
      </c>
    </row>
    <row r="1187" spans="1:3">
      <c r="A1187" t="str">
        <f>"932117"</f>
        <v>932117</v>
      </c>
      <c r="B1187" t="s">
        <v>4</v>
      </c>
      <c r="C1187">
        <v>62</v>
      </c>
    </row>
    <row r="1188" spans="1:3">
      <c r="A1188" t="str">
        <f>"932118"</f>
        <v>932118</v>
      </c>
      <c r="B1188" t="s">
        <v>4</v>
      </c>
      <c r="C1188">
        <v>62</v>
      </c>
    </row>
    <row r="1189" spans="1:3">
      <c r="A1189" t="str">
        <f>"932119"</f>
        <v>932119</v>
      </c>
      <c r="B1189" t="s">
        <v>4</v>
      </c>
      <c r="C1189">
        <v>62</v>
      </c>
    </row>
    <row r="1190" spans="1:3">
      <c r="A1190" t="str">
        <f>"932120"</f>
        <v>932120</v>
      </c>
      <c r="B1190" t="s">
        <v>4</v>
      </c>
      <c r="C1190">
        <v>62</v>
      </c>
    </row>
    <row r="1191" spans="1:3">
      <c r="A1191" t="str">
        <f>"932121"</f>
        <v>932121</v>
      </c>
      <c r="B1191" t="s">
        <v>4</v>
      </c>
      <c r="C1191">
        <v>62</v>
      </c>
    </row>
    <row r="1192" spans="1:3">
      <c r="A1192" t="str">
        <f>"932122"</f>
        <v>932122</v>
      </c>
      <c r="B1192" t="s">
        <v>4</v>
      </c>
      <c r="C1192">
        <v>62</v>
      </c>
    </row>
    <row r="1193" spans="1:3">
      <c r="A1193" t="str">
        <f>"932123"</f>
        <v>932123</v>
      </c>
      <c r="B1193" t="s">
        <v>4</v>
      </c>
      <c r="C1193">
        <v>62</v>
      </c>
    </row>
    <row r="1194" spans="1:3">
      <c r="A1194" t="str">
        <f>"932124"</f>
        <v>932124</v>
      </c>
      <c r="B1194" t="s">
        <v>4</v>
      </c>
      <c r="C1194">
        <v>62</v>
      </c>
    </row>
    <row r="1195" spans="1:3">
      <c r="A1195" t="str">
        <f>"932125"</f>
        <v>932125</v>
      </c>
      <c r="B1195" t="s">
        <v>4</v>
      </c>
      <c r="C1195">
        <v>62</v>
      </c>
    </row>
    <row r="1196" spans="1:3">
      <c r="A1196" t="str">
        <f>"932126"</f>
        <v>932126</v>
      </c>
      <c r="B1196" t="s">
        <v>4</v>
      </c>
      <c r="C1196">
        <v>62</v>
      </c>
    </row>
    <row r="1197" spans="1:3">
      <c r="A1197" t="str">
        <f>"932127"</f>
        <v>932127</v>
      </c>
      <c r="B1197" t="s">
        <v>4</v>
      </c>
      <c r="C1197">
        <v>62</v>
      </c>
    </row>
    <row r="1198" spans="1:3">
      <c r="A1198" t="str">
        <f>"932128"</f>
        <v>932128</v>
      </c>
      <c r="B1198" t="s">
        <v>4</v>
      </c>
      <c r="C1198">
        <v>62</v>
      </c>
    </row>
    <row r="1199" spans="1:3">
      <c r="A1199" t="str">
        <f>"932130"</f>
        <v>932130</v>
      </c>
      <c r="B1199" t="s">
        <v>4</v>
      </c>
      <c r="C1199">
        <v>62</v>
      </c>
    </row>
    <row r="1200" spans="1:3">
      <c r="A1200" t="str">
        <f>"932131"</f>
        <v>932131</v>
      </c>
      <c r="B1200" t="s">
        <v>4</v>
      </c>
      <c r="C1200">
        <v>62</v>
      </c>
    </row>
    <row r="1201" spans="1:3">
      <c r="A1201" t="str">
        <f>"932132"</f>
        <v>932132</v>
      </c>
      <c r="B1201" t="s">
        <v>4</v>
      </c>
      <c r="C1201">
        <v>62</v>
      </c>
    </row>
    <row r="1202" spans="1:3">
      <c r="A1202" t="str">
        <f>"932133"</f>
        <v>932133</v>
      </c>
      <c r="B1202" t="s">
        <v>4</v>
      </c>
      <c r="C1202">
        <v>62</v>
      </c>
    </row>
    <row r="1203" spans="1:3">
      <c r="A1203" t="str">
        <f>"932134"</f>
        <v>932134</v>
      </c>
      <c r="B1203" t="s">
        <v>4</v>
      </c>
      <c r="C1203">
        <v>62</v>
      </c>
    </row>
    <row r="1204" spans="1:3">
      <c r="A1204" t="str">
        <f>"932135"</f>
        <v>932135</v>
      </c>
      <c r="B1204" t="s">
        <v>4</v>
      </c>
      <c r="C1204">
        <v>62</v>
      </c>
    </row>
    <row r="1205" spans="1:3">
      <c r="A1205" t="str">
        <f>"932136"</f>
        <v>932136</v>
      </c>
      <c r="B1205" t="s">
        <v>4</v>
      </c>
      <c r="C1205">
        <v>62</v>
      </c>
    </row>
    <row r="1206" spans="1:3">
      <c r="A1206" t="str">
        <f>"932138"</f>
        <v>932138</v>
      </c>
      <c r="B1206" t="s">
        <v>4</v>
      </c>
      <c r="C1206">
        <v>62</v>
      </c>
    </row>
    <row r="1207" spans="1:3">
      <c r="A1207" t="str">
        <f>"932139"</f>
        <v>932139</v>
      </c>
      <c r="B1207" t="s">
        <v>4</v>
      </c>
      <c r="C1207">
        <v>62</v>
      </c>
    </row>
    <row r="1208" spans="1:3">
      <c r="A1208" t="str">
        <f>"932140"</f>
        <v>932140</v>
      </c>
      <c r="B1208" t="s">
        <v>4</v>
      </c>
      <c r="C1208">
        <v>62</v>
      </c>
    </row>
    <row r="1209" spans="1:3">
      <c r="A1209" t="str">
        <f>"932141"</f>
        <v>932141</v>
      </c>
      <c r="B1209" t="s">
        <v>4</v>
      </c>
      <c r="C1209">
        <v>62</v>
      </c>
    </row>
    <row r="1210" spans="1:3">
      <c r="A1210" t="str">
        <f>"932142"</f>
        <v>932142</v>
      </c>
      <c r="B1210" t="s">
        <v>4</v>
      </c>
      <c r="C1210">
        <v>62</v>
      </c>
    </row>
    <row r="1211" spans="1:3">
      <c r="A1211" t="str">
        <f>"932143"</f>
        <v>932143</v>
      </c>
      <c r="B1211" t="s">
        <v>4</v>
      </c>
      <c r="C1211">
        <v>62</v>
      </c>
    </row>
    <row r="1212" spans="1:3">
      <c r="A1212" t="str">
        <f>"932144"</f>
        <v>932144</v>
      </c>
      <c r="B1212" t="s">
        <v>4</v>
      </c>
      <c r="C1212">
        <v>62</v>
      </c>
    </row>
    <row r="1213" spans="1:3">
      <c r="A1213" t="str">
        <f>"932145"</f>
        <v>932145</v>
      </c>
      <c r="B1213" t="s">
        <v>4</v>
      </c>
      <c r="C1213">
        <v>62</v>
      </c>
    </row>
    <row r="1214" spans="1:3">
      <c r="A1214" t="str">
        <f>"932149"</f>
        <v>932149</v>
      </c>
      <c r="B1214" t="s">
        <v>4</v>
      </c>
      <c r="C1214">
        <v>62</v>
      </c>
    </row>
    <row r="1215" spans="1:3">
      <c r="A1215" t="str">
        <f>"932150"</f>
        <v>932150</v>
      </c>
      <c r="B1215" t="s">
        <v>4</v>
      </c>
      <c r="C1215">
        <v>62</v>
      </c>
    </row>
    <row r="1216" spans="1:3">
      <c r="A1216" t="str">
        <f>"932151"</f>
        <v>932151</v>
      </c>
      <c r="B1216" t="s">
        <v>4</v>
      </c>
      <c r="C1216">
        <v>62</v>
      </c>
    </row>
    <row r="1217" spans="1:3">
      <c r="A1217" t="str">
        <f>"932152"</f>
        <v>932152</v>
      </c>
      <c r="B1217" t="s">
        <v>4</v>
      </c>
      <c r="C1217">
        <v>62</v>
      </c>
    </row>
    <row r="1218" spans="1:3">
      <c r="A1218" t="str">
        <f>"932153"</f>
        <v>932153</v>
      </c>
      <c r="B1218" t="s">
        <v>4</v>
      </c>
      <c r="C1218">
        <v>62</v>
      </c>
    </row>
    <row r="1219" spans="1:3">
      <c r="A1219" t="str">
        <f>"932154"</f>
        <v>932154</v>
      </c>
      <c r="B1219" t="s">
        <v>4</v>
      </c>
      <c r="C1219">
        <v>62</v>
      </c>
    </row>
    <row r="1220" spans="1:3">
      <c r="A1220" t="str">
        <f>"932157"</f>
        <v>932157</v>
      </c>
      <c r="B1220" t="s">
        <v>4</v>
      </c>
      <c r="C1220">
        <v>62</v>
      </c>
    </row>
    <row r="1221" spans="1:3">
      <c r="A1221" t="str">
        <f>"932158"</f>
        <v>932158</v>
      </c>
      <c r="B1221" t="s">
        <v>4</v>
      </c>
      <c r="C1221">
        <v>62</v>
      </c>
    </row>
    <row r="1222" spans="1:3">
      <c r="A1222" t="str">
        <f>"932159"</f>
        <v>932159</v>
      </c>
      <c r="B1222" t="s">
        <v>4</v>
      </c>
      <c r="C1222">
        <v>62</v>
      </c>
    </row>
    <row r="1223" spans="1:3">
      <c r="A1223" t="str">
        <f>"932160"</f>
        <v>932160</v>
      </c>
      <c r="B1223" t="s">
        <v>4</v>
      </c>
      <c r="C1223">
        <v>62</v>
      </c>
    </row>
    <row r="1224" spans="1:3">
      <c r="A1224" t="str">
        <f>"932161"</f>
        <v>932161</v>
      </c>
      <c r="B1224" t="s">
        <v>4</v>
      </c>
      <c r="C1224">
        <v>62</v>
      </c>
    </row>
    <row r="1225" spans="1:3">
      <c r="A1225" t="str">
        <f>"932162"</f>
        <v>932162</v>
      </c>
      <c r="B1225" t="s">
        <v>4</v>
      </c>
      <c r="C1225">
        <v>62</v>
      </c>
    </row>
    <row r="1226" spans="1:3">
      <c r="A1226" t="str">
        <f>"932163"</f>
        <v>932163</v>
      </c>
      <c r="B1226" t="s">
        <v>4</v>
      </c>
      <c r="C1226">
        <v>62</v>
      </c>
    </row>
    <row r="1227" spans="1:3">
      <c r="A1227" t="str">
        <f>"932165"</f>
        <v>932165</v>
      </c>
      <c r="B1227" t="s">
        <v>4</v>
      </c>
      <c r="C1227">
        <v>62</v>
      </c>
    </row>
    <row r="1228" spans="1:3">
      <c r="A1228" t="str">
        <f>"932166"</f>
        <v>932166</v>
      </c>
      <c r="B1228" t="s">
        <v>4</v>
      </c>
      <c r="C1228">
        <v>62</v>
      </c>
    </row>
    <row r="1229" spans="1:3">
      <c r="A1229" t="str">
        <f>"932167"</f>
        <v>932167</v>
      </c>
      <c r="B1229" t="s">
        <v>4</v>
      </c>
      <c r="C1229">
        <v>62</v>
      </c>
    </row>
    <row r="1230" spans="1:3">
      <c r="A1230" t="str">
        <f>"932168"</f>
        <v>932168</v>
      </c>
      <c r="B1230" t="s">
        <v>4</v>
      </c>
      <c r="C1230">
        <v>62</v>
      </c>
    </row>
    <row r="1231" spans="1:3">
      <c r="A1231" t="str">
        <f>"932169"</f>
        <v>932169</v>
      </c>
      <c r="B1231" t="s">
        <v>4</v>
      </c>
      <c r="C1231">
        <v>62</v>
      </c>
    </row>
    <row r="1232" spans="1:3">
      <c r="A1232" t="str">
        <f>"932170"</f>
        <v>932170</v>
      </c>
      <c r="B1232" t="s">
        <v>4</v>
      </c>
      <c r="C1232">
        <v>62</v>
      </c>
    </row>
    <row r="1233" spans="1:3">
      <c r="A1233" t="str">
        <f>"932171"</f>
        <v>932171</v>
      </c>
      <c r="B1233" t="s">
        <v>4</v>
      </c>
      <c r="C1233">
        <v>62</v>
      </c>
    </row>
    <row r="1234" spans="1:3">
      <c r="A1234" t="str">
        <f>"932172"</f>
        <v>932172</v>
      </c>
      <c r="B1234" t="s">
        <v>4</v>
      </c>
      <c r="C1234">
        <v>62</v>
      </c>
    </row>
    <row r="1235" spans="1:3">
      <c r="A1235" t="str">
        <f>"932173"</f>
        <v>932173</v>
      </c>
      <c r="B1235" t="s">
        <v>4</v>
      </c>
      <c r="C1235">
        <v>62</v>
      </c>
    </row>
    <row r="1236" spans="1:3">
      <c r="A1236" t="str">
        <f>"932174"</f>
        <v>932174</v>
      </c>
      <c r="B1236" t="s">
        <v>4</v>
      </c>
      <c r="C1236">
        <v>62</v>
      </c>
    </row>
    <row r="1237" spans="1:3">
      <c r="A1237" t="str">
        <f>"932175"</f>
        <v>932175</v>
      </c>
      <c r="B1237" t="s">
        <v>4</v>
      </c>
      <c r="C1237">
        <v>62</v>
      </c>
    </row>
    <row r="1238" spans="1:3">
      <c r="A1238" t="str">
        <f>"932176"</f>
        <v>932176</v>
      </c>
      <c r="B1238" t="s">
        <v>4</v>
      </c>
      <c r="C1238">
        <v>62</v>
      </c>
    </row>
    <row r="1239" spans="1:3">
      <c r="A1239" t="str">
        <f>"932177"</f>
        <v>932177</v>
      </c>
      <c r="B1239" t="s">
        <v>4</v>
      </c>
      <c r="C1239">
        <v>62</v>
      </c>
    </row>
    <row r="1240" spans="1:3">
      <c r="A1240" t="str">
        <f>"932178"</f>
        <v>932178</v>
      </c>
      <c r="B1240" t="s">
        <v>4</v>
      </c>
      <c r="C1240">
        <v>62</v>
      </c>
    </row>
    <row r="1241" spans="1:3">
      <c r="A1241" t="str">
        <f>"932179"</f>
        <v>932179</v>
      </c>
      <c r="B1241" t="s">
        <v>4</v>
      </c>
      <c r="C1241">
        <v>62</v>
      </c>
    </row>
    <row r="1242" spans="1:3">
      <c r="A1242" t="str">
        <f>"932180"</f>
        <v>932180</v>
      </c>
      <c r="B1242" t="s">
        <v>4</v>
      </c>
      <c r="C1242">
        <v>62</v>
      </c>
    </row>
    <row r="1243" spans="1:3">
      <c r="A1243" t="str">
        <f>"932181"</f>
        <v>932181</v>
      </c>
      <c r="B1243" t="s">
        <v>4</v>
      </c>
      <c r="C1243">
        <v>62</v>
      </c>
    </row>
    <row r="1244" spans="1:3">
      <c r="A1244" t="str">
        <f>"932182"</f>
        <v>932182</v>
      </c>
      <c r="B1244" t="s">
        <v>4</v>
      </c>
      <c r="C1244">
        <v>62</v>
      </c>
    </row>
    <row r="1245" spans="1:3">
      <c r="A1245" t="str">
        <f>"932183"</f>
        <v>932183</v>
      </c>
      <c r="B1245" t="s">
        <v>4</v>
      </c>
      <c r="C1245">
        <v>62</v>
      </c>
    </row>
    <row r="1246" spans="1:3">
      <c r="A1246" t="str">
        <f>"932184"</f>
        <v>932184</v>
      </c>
      <c r="B1246" t="s">
        <v>4</v>
      </c>
      <c r="C1246">
        <v>62</v>
      </c>
    </row>
    <row r="1247" spans="1:3">
      <c r="A1247" t="str">
        <f>"932185"</f>
        <v>932185</v>
      </c>
      <c r="B1247" t="s">
        <v>4</v>
      </c>
      <c r="C1247">
        <v>62</v>
      </c>
    </row>
    <row r="1248" spans="1:3">
      <c r="A1248" t="str">
        <f>"932191"</f>
        <v>932191</v>
      </c>
      <c r="B1248" t="s">
        <v>4</v>
      </c>
      <c r="C1248">
        <v>62</v>
      </c>
    </row>
    <row r="1249" spans="1:3">
      <c r="A1249" t="str">
        <f>"932192"</f>
        <v>932192</v>
      </c>
      <c r="B1249" t="s">
        <v>4</v>
      </c>
      <c r="C1249">
        <v>62</v>
      </c>
    </row>
    <row r="1250" spans="1:3">
      <c r="A1250" t="str">
        <f>"932193"</f>
        <v>932193</v>
      </c>
      <c r="B1250" t="s">
        <v>4</v>
      </c>
      <c r="C1250">
        <v>62</v>
      </c>
    </row>
    <row r="1251" spans="1:3">
      <c r="A1251" t="str">
        <f>"932194"</f>
        <v>932194</v>
      </c>
      <c r="B1251" t="s">
        <v>4</v>
      </c>
      <c r="C1251">
        <v>62</v>
      </c>
    </row>
    <row r="1252" spans="1:3">
      <c r="A1252" t="str">
        <f>"932195"</f>
        <v>932195</v>
      </c>
      <c r="B1252" t="s">
        <v>4</v>
      </c>
      <c r="C1252">
        <v>62</v>
      </c>
    </row>
    <row r="1253" spans="1:3">
      <c r="A1253" t="str">
        <f>"932196"</f>
        <v>932196</v>
      </c>
      <c r="B1253" t="s">
        <v>4</v>
      </c>
      <c r="C1253">
        <v>62</v>
      </c>
    </row>
    <row r="1254" spans="1:3">
      <c r="A1254" t="str">
        <f>"932197"</f>
        <v>932197</v>
      </c>
      <c r="B1254" t="s">
        <v>4</v>
      </c>
      <c r="C1254">
        <v>62</v>
      </c>
    </row>
    <row r="1255" spans="1:3">
      <c r="A1255" t="str">
        <f>"932198"</f>
        <v>932198</v>
      </c>
      <c r="B1255" t="s">
        <v>4</v>
      </c>
      <c r="C1255">
        <v>62</v>
      </c>
    </row>
    <row r="1256" spans="1:3">
      <c r="A1256" t="str">
        <f>"932199"</f>
        <v>932199</v>
      </c>
      <c r="B1256" t="s">
        <v>4</v>
      </c>
      <c r="C1256">
        <v>62</v>
      </c>
    </row>
    <row r="1257" spans="1:3">
      <c r="A1257" t="str">
        <f>"932200"</f>
        <v>932200</v>
      </c>
      <c r="B1257" t="s">
        <v>4</v>
      </c>
      <c r="C1257">
        <v>62</v>
      </c>
    </row>
    <row r="1258" spans="1:3">
      <c r="A1258" t="str">
        <f>"932201"</f>
        <v>932201</v>
      </c>
      <c r="B1258" t="s">
        <v>4</v>
      </c>
      <c r="C1258">
        <v>62</v>
      </c>
    </row>
    <row r="1259" spans="1:3">
      <c r="A1259" t="str">
        <f>"932202"</f>
        <v>932202</v>
      </c>
      <c r="B1259" t="s">
        <v>4</v>
      </c>
      <c r="C1259">
        <v>62</v>
      </c>
    </row>
    <row r="1260" spans="1:3">
      <c r="A1260" t="str">
        <f>"932203"</f>
        <v>932203</v>
      </c>
      <c r="B1260" t="s">
        <v>4</v>
      </c>
      <c r="C1260">
        <v>62</v>
      </c>
    </row>
    <row r="1261" spans="1:3">
      <c r="A1261" t="str">
        <f>"932204"</f>
        <v>932204</v>
      </c>
      <c r="B1261" t="s">
        <v>4</v>
      </c>
      <c r="C1261">
        <v>62</v>
      </c>
    </row>
    <row r="1262" spans="1:3">
      <c r="A1262" t="str">
        <f>"932205"</f>
        <v>932205</v>
      </c>
      <c r="B1262" t="s">
        <v>4</v>
      </c>
      <c r="C1262">
        <v>62</v>
      </c>
    </row>
    <row r="1263" spans="1:3">
      <c r="A1263" t="str">
        <f>"932206"</f>
        <v>932206</v>
      </c>
      <c r="B1263" t="s">
        <v>4</v>
      </c>
      <c r="C1263">
        <v>62</v>
      </c>
    </row>
    <row r="1264" spans="1:3">
      <c r="A1264" t="str">
        <f>"932207"</f>
        <v>932207</v>
      </c>
      <c r="B1264" t="s">
        <v>4</v>
      </c>
      <c r="C1264">
        <v>62</v>
      </c>
    </row>
    <row r="1265" spans="1:3">
      <c r="A1265" t="str">
        <f>"932208"</f>
        <v>932208</v>
      </c>
      <c r="B1265" t="s">
        <v>4</v>
      </c>
      <c r="C1265">
        <v>62</v>
      </c>
    </row>
    <row r="1266" spans="1:3">
      <c r="A1266" t="str">
        <f>"932209"</f>
        <v>932209</v>
      </c>
      <c r="B1266" t="s">
        <v>4</v>
      </c>
      <c r="C1266">
        <v>62</v>
      </c>
    </row>
    <row r="1267" spans="1:3">
      <c r="A1267" t="str">
        <f>"932210"</f>
        <v>932210</v>
      </c>
      <c r="B1267" t="s">
        <v>4</v>
      </c>
      <c r="C1267">
        <v>62</v>
      </c>
    </row>
    <row r="1268" spans="1:3">
      <c r="A1268" t="str">
        <f>"932211"</f>
        <v>932211</v>
      </c>
      <c r="B1268" t="s">
        <v>4</v>
      </c>
      <c r="C1268">
        <v>62</v>
      </c>
    </row>
    <row r="1269" spans="1:3">
      <c r="A1269" t="str">
        <f>"932212"</f>
        <v>932212</v>
      </c>
      <c r="B1269" t="s">
        <v>4</v>
      </c>
      <c r="C1269">
        <v>62</v>
      </c>
    </row>
    <row r="1270" spans="1:3">
      <c r="A1270" t="str">
        <f>"932213"</f>
        <v>932213</v>
      </c>
      <c r="B1270" t="s">
        <v>4</v>
      </c>
      <c r="C1270">
        <v>62</v>
      </c>
    </row>
    <row r="1271" spans="1:3">
      <c r="A1271" t="str">
        <f>"932214"</f>
        <v>932214</v>
      </c>
      <c r="B1271" t="s">
        <v>4</v>
      </c>
      <c r="C1271">
        <v>62</v>
      </c>
    </row>
    <row r="1272" spans="1:3">
      <c r="A1272" t="str">
        <f>"932216"</f>
        <v>932216</v>
      </c>
      <c r="B1272" t="s">
        <v>4</v>
      </c>
      <c r="C1272">
        <v>62</v>
      </c>
    </row>
    <row r="1273" spans="1:3">
      <c r="A1273" t="str">
        <f>"932217"</f>
        <v>932217</v>
      </c>
      <c r="B1273" t="s">
        <v>4</v>
      </c>
      <c r="C1273">
        <v>62</v>
      </c>
    </row>
    <row r="1274" spans="1:3">
      <c r="A1274" t="str">
        <f>"932218"</f>
        <v>932218</v>
      </c>
      <c r="B1274" t="s">
        <v>4</v>
      </c>
      <c r="C1274">
        <v>62</v>
      </c>
    </row>
    <row r="1275" spans="1:3">
      <c r="A1275" t="str">
        <f>"932219"</f>
        <v>932219</v>
      </c>
      <c r="B1275" t="s">
        <v>4</v>
      </c>
      <c r="C1275">
        <v>62</v>
      </c>
    </row>
    <row r="1276" spans="1:3">
      <c r="A1276" t="str">
        <f>"932220"</f>
        <v>932220</v>
      </c>
      <c r="B1276" t="s">
        <v>4</v>
      </c>
      <c r="C1276">
        <v>62</v>
      </c>
    </row>
    <row r="1277" spans="1:3">
      <c r="A1277" t="str">
        <f>"932221"</f>
        <v>932221</v>
      </c>
      <c r="B1277" t="s">
        <v>4</v>
      </c>
      <c r="C1277">
        <v>62</v>
      </c>
    </row>
    <row r="1278" spans="1:3">
      <c r="A1278" t="str">
        <f>"932222"</f>
        <v>932222</v>
      </c>
      <c r="B1278" t="s">
        <v>4</v>
      </c>
      <c r="C1278">
        <v>62</v>
      </c>
    </row>
    <row r="1279" spans="1:3">
      <c r="A1279" t="str">
        <f>"932225"</f>
        <v>932225</v>
      </c>
      <c r="B1279" t="s">
        <v>4</v>
      </c>
      <c r="C1279">
        <v>62</v>
      </c>
    </row>
    <row r="1280" spans="1:3">
      <c r="A1280" t="str">
        <f>"932226"</f>
        <v>932226</v>
      </c>
      <c r="B1280" t="s">
        <v>4</v>
      </c>
      <c r="C1280">
        <v>62</v>
      </c>
    </row>
    <row r="1281" spans="1:3">
      <c r="A1281" t="str">
        <f>"932227"</f>
        <v>932227</v>
      </c>
      <c r="B1281" t="s">
        <v>4</v>
      </c>
      <c r="C1281">
        <v>62</v>
      </c>
    </row>
    <row r="1282" spans="1:3">
      <c r="A1282" t="str">
        <f>"932228"</f>
        <v>932228</v>
      </c>
      <c r="B1282" t="s">
        <v>4</v>
      </c>
      <c r="C1282">
        <v>62</v>
      </c>
    </row>
    <row r="1283" spans="1:3">
      <c r="A1283" t="str">
        <f>"932229"</f>
        <v>932229</v>
      </c>
      <c r="B1283" t="s">
        <v>4</v>
      </c>
      <c r="C1283">
        <v>62</v>
      </c>
    </row>
    <row r="1284" spans="1:3">
      <c r="A1284" t="str">
        <f>"932230"</f>
        <v>932230</v>
      </c>
      <c r="B1284" t="s">
        <v>4</v>
      </c>
      <c r="C1284">
        <v>62</v>
      </c>
    </row>
    <row r="1285" spans="1:3">
      <c r="A1285" t="str">
        <f>"932231"</f>
        <v>932231</v>
      </c>
      <c r="B1285" t="s">
        <v>4</v>
      </c>
      <c r="C1285">
        <v>62</v>
      </c>
    </row>
    <row r="1286" spans="1:3">
      <c r="A1286" t="str">
        <f>"932232"</f>
        <v>932232</v>
      </c>
      <c r="B1286" t="s">
        <v>4</v>
      </c>
      <c r="C1286">
        <v>62</v>
      </c>
    </row>
    <row r="1287" spans="1:3">
      <c r="A1287" t="str">
        <f>"932233"</f>
        <v>932233</v>
      </c>
      <c r="B1287" t="s">
        <v>4</v>
      </c>
      <c r="C1287">
        <v>62</v>
      </c>
    </row>
    <row r="1288" spans="1:3">
      <c r="A1288" t="str">
        <f>"932234"</f>
        <v>932234</v>
      </c>
      <c r="B1288" t="s">
        <v>4</v>
      </c>
      <c r="C1288">
        <v>62</v>
      </c>
    </row>
    <row r="1289" spans="1:3">
      <c r="A1289" t="str">
        <f>"932235"</f>
        <v>932235</v>
      </c>
      <c r="B1289" t="s">
        <v>4</v>
      </c>
      <c r="C1289">
        <v>62</v>
      </c>
    </row>
    <row r="1290" spans="1:3">
      <c r="A1290" t="str">
        <f>"932236"</f>
        <v>932236</v>
      </c>
      <c r="B1290" t="s">
        <v>4</v>
      </c>
      <c r="C1290">
        <v>62</v>
      </c>
    </row>
    <row r="1291" spans="1:3">
      <c r="A1291" t="str">
        <f>"932237"</f>
        <v>932237</v>
      </c>
      <c r="B1291" t="s">
        <v>4</v>
      </c>
      <c r="C1291">
        <v>62</v>
      </c>
    </row>
    <row r="1292" spans="1:3">
      <c r="A1292" t="str">
        <f>"932238"</f>
        <v>932238</v>
      </c>
      <c r="B1292" t="s">
        <v>4</v>
      </c>
      <c r="C1292">
        <v>62</v>
      </c>
    </row>
    <row r="1293" spans="1:3">
      <c r="A1293" t="str">
        <f>"932239"</f>
        <v>932239</v>
      </c>
      <c r="B1293" t="s">
        <v>4</v>
      </c>
      <c r="C1293">
        <v>62</v>
      </c>
    </row>
    <row r="1294" spans="1:3">
      <c r="A1294" t="str">
        <f>"932240"</f>
        <v>932240</v>
      </c>
      <c r="B1294" t="s">
        <v>4</v>
      </c>
      <c r="C1294">
        <v>62</v>
      </c>
    </row>
    <row r="1295" spans="1:3">
      <c r="A1295" t="str">
        <f>"932241"</f>
        <v>932241</v>
      </c>
      <c r="B1295" t="s">
        <v>4</v>
      </c>
      <c r="C1295">
        <v>62</v>
      </c>
    </row>
    <row r="1296" spans="1:3">
      <c r="A1296" t="str">
        <f>"932242"</f>
        <v>932242</v>
      </c>
      <c r="B1296" t="s">
        <v>4</v>
      </c>
      <c r="C1296">
        <v>62</v>
      </c>
    </row>
    <row r="1297" spans="1:3">
      <c r="A1297" t="str">
        <f>"932243"</f>
        <v>932243</v>
      </c>
      <c r="B1297" t="s">
        <v>4</v>
      </c>
      <c r="C1297">
        <v>62</v>
      </c>
    </row>
    <row r="1298" spans="1:3">
      <c r="A1298" t="str">
        <f>"932244"</f>
        <v>932244</v>
      </c>
      <c r="B1298" t="s">
        <v>4</v>
      </c>
      <c r="C1298">
        <v>62</v>
      </c>
    </row>
    <row r="1299" spans="1:3">
      <c r="A1299" t="str">
        <f>"932246"</f>
        <v>932246</v>
      </c>
      <c r="B1299" t="s">
        <v>4</v>
      </c>
      <c r="C1299">
        <v>62</v>
      </c>
    </row>
    <row r="1300" spans="1:3">
      <c r="A1300" t="str">
        <f>"932247"</f>
        <v>932247</v>
      </c>
      <c r="B1300" t="s">
        <v>4</v>
      </c>
      <c r="C1300">
        <v>62</v>
      </c>
    </row>
    <row r="1301" spans="1:3">
      <c r="A1301" t="str">
        <f>"932248"</f>
        <v>932248</v>
      </c>
      <c r="B1301" t="s">
        <v>4</v>
      </c>
      <c r="C1301">
        <v>62</v>
      </c>
    </row>
    <row r="1302" spans="1:3">
      <c r="A1302" t="str">
        <f>"932250"</f>
        <v>932250</v>
      </c>
      <c r="B1302" t="s">
        <v>4</v>
      </c>
      <c r="C1302">
        <v>62</v>
      </c>
    </row>
    <row r="1303" spans="1:3">
      <c r="A1303" t="str">
        <f>"932251"</f>
        <v>932251</v>
      </c>
      <c r="B1303" t="s">
        <v>4</v>
      </c>
      <c r="C1303">
        <v>62</v>
      </c>
    </row>
    <row r="1304" spans="1:3">
      <c r="A1304" t="str">
        <f>"932254"</f>
        <v>932254</v>
      </c>
      <c r="B1304" t="s">
        <v>4</v>
      </c>
      <c r="C1304">
        <v>62</v>
      </c>
    </row>
    <row r="1305" spans="1:3">
      <c r="A1305" t="str">
        <f>"932255"</f>
        <v>932255</v>
      </c>
      <c r="B1305" t="s">
        <v>4</v>
      </c>
      <c r="C1305">
        <v>62</v>
      </c>
    </row>
    <row r="1306" spans="1:3">
      <c r="A1306" t="str">
        <f>"932256"</f>
        <v>932256</v>
      </c>
      <c r="B1306" t="s">
        <v>4</v>
      </c>
      <c r="C1306">
        <v>62</v>
      </c>
    </row>
    <row r="1307" spans="1:3">
      <c r="A1307" t="str">
        <f>"932257"</f>
        <v>932257</v>
      </c>
      <c r="B1307" t="s">
        <v>4</v>
      </c>
      <c r="C1307">
        <v>62</v>
      </c>
    </row>
    <row r="1308" spans="1:3">
      <c r="A1308" t="str">
        <f>"932258"</f>
        <v>932258</v>
      </c>
      <c r="B1308" t="s">
        <v>4</v>
      </c>
      <c r="C1308">
        <v>62</v>
      </c>
    </row>
    <row r="1309" spans="1:3">
      <c r="A1309" t="str">
        <f>"932259"</f>
        <v>932259</v>
      </c>
      <c r="B1309" t="s">
        <v>4</v>
      </c>
      <c r="C1309">
        <v>62</v>
      </c>
    </row>
    <row r="1310" spans="1:3">
      <c r="A1310" t="str">
        <f>"932262"</f>
        <v>932262</v>
      </c>
      <c r="B1310" t="s">
        <v>4</v>
      </c>
      <c r="C1310">
        <v>62</v>
      </c>
    </row>
    <row r="1311" spans="1:3">
      <c r="A1311" t="str">
        <f>"932263"</f>
        <v>932263</v>
      </c>
      <c r="B1311" t="s">
        <v>4</v>
      </c>
      <c r="C1311">
        <v>62</v>
      </c>
    </row>
    <row r="1312" spans="1:3">
      <c r="A1312" t="str">
        <f>"932265"</f>
        <v>932265</v>
      </c>
      <c r="B1312" t="s">
        <v>4</v>
      </c>
      <c r="C1312">
        <v>62</v>
      </c>
    </row>
    <row r="1313" spans="1:3">
      <c r="A1313" t="str">
        <f>"932266"</f>
        <v>932266</v>
      </c>
      <c r="B1313" t="s">
        <v>4</v>
      </c>
      <c r="C1313">
        <v>62</v>
      </c>
    </row>
    <row r="1314" spans="1:3">
      <c r="A1314" t="str">
        <f>"932282"</f>
        <v>932282</v>
      </c>
      <c r="B1314" t="s">
        <v>4</v>
      </c>
      <c r="C1314">
        <v>62</v>
      </c>
    </row>
    <row r="1315" spans="1:3">
      <c r="A1315" t="str">
        <f>"932283"</f>
        <v>932283</v>
      </c>
      <c r="B1315" t="s">
        <v>4</v>
      </c>
      <c r="C1315">
        <v>62</v>
      </c>
    </row>
    <row r="1316" spans="1:3">
      <c r="A1316" t="str">
        <f>"932284"</f>
        <v>932284</v>
      </c>
      <c r="B1316" t="s">
        <v>4</v>
      </c>
      <c r="C1316">
        <v>62</v>
      </c>
    </row>
    <row r="1317" spans="1:3">
      <c r="A1317" t="str">
        <f>"932285"</f>
        <v>932285</v>
      </c>
      <c r="B1317" t="s">
        <v>4</v>
      </c>
      <c r="C1317">
        <v>62</v>
      </c>
    </row>
    <row r="1318" spans="1:3">
      <c r="A1318" t="str">
        <f>"932286"</f>
        <v>932286</v>
      </c>
      <c r="B1318" t="s">
        <v>4</v>
      </c>
      <c r="C1318">
        <v>62</v>
      </c>
    </row>
    <row r="1319" spans="1:3">
      <c r="A1319" t="str">
        <f>"932287"</f>
        <v>932287</v>
      </c>
      <c r="B1319" t="s">
        <v>4</v>
      </c>
      <c r="C1319">
        <v>62</v>
      </c>
    </row>
    <row r="1320" spans="1:3">
      <c r="A1320" t="str">
        <f>"932288"</f>
        <v>932288</v>
      </c>
      <c r="B1320" t="s">
        <v>4</v>
      </c>
      <c r="C1320">
        <v>62</v>
      </c>
    </row>
    <row r="1321" spans="1:3">
      <c r="A1321" t="str">
        <f>"932289"</f>
        <v>932289</v>
      </c>
      <c r="B1321" t="s">
        <v>4</v>
      </c>
      <c r="C1321">
        <v>62</v>
      </c>
    </row>
    <row r="1322" spans="1:3">
      <c r="A1322" t="str">
        <f>"932290"</f>
        <v>932290</v>
      </c>
      <c r="B1322" t="s">
        <v>4</v>
      </c>
      <c r="C1322">
        <v>62</v>
      </c>
    </row>
    <row r="1323" spans="1:3">
      <c r="A1323" t="str">
        <f>"932291"</f>
        <v>932291</v>
      </c>
      <c r="B1323" t="s">
        <v>4</v>
      </c>
      <c r="C1323">
        <v>62</v>
      </c>
    </row>
    <row r="1324" spans="1:3">
      <c r="A1324" t="str">
        <f>"932292"</f>
        <v>932292</v>
      </c>
      <c r="B1324" t="s">
        <v>4</v>
      </c>
      <c r="C1324">
        <v>62</v>
      </c>
    </row>
    <row r="1325" spans="1:3">
      <c r="A1325" t="str">
        <f>"932293"</f>
        <v>932293</v>
      </c>
      <c r="B1325" t="s">
        <v>4</v>
      </c>
      <c r="C1325">
        <v>62</v>
      </c>
    </row>
    <row r="1326" spans="1:3">
      <c r="A1326" t="str">
        <f>"932294"</f>
        <v>932294</v>
      </c>
      <c r="B1326" t="s">
        <v>4</v>
      </c>
      <c r="C1326">
        <v>62</v>
      </c>
    </row>
    <row r="1327" spans="1:3">
      <c r="A1327" t="str">
        <f>"932305"</f>
        <v>932305</v>
      </c>
      <c r="B1327" t="s">
        <v>4</v>
      </c>
      <c r="C1327">
        <v>62</v>
      </c>
    </row>
    <row r="1328" spans="1:3">
      <c r="A1328" t="str">
        <f>"932306"</f>
        <v>932306</v>
      </c>
      <c r="B1328" t="s">
        <v>4</v>
      </c>
      <c r="C1328">
        <v>62</v>
      </c>
    </row>
    <row r="1329" spans="1:3">
      <c r="A1329" t="str">
        <f>"932307"</f>
        <v>932307</v>
      </c>
      <c r="B1329" t="s">
        <v>4</v>
      </c>
      <c r="C1329">
        <v>62</v>
      </c>
    </row>
    <row r="1330" spans="1:3">
      <c r="A1330" t="str">
        <f>"932308"</f>
        <v>932308</v>
      </c>
      <c r="B1330" t="s">
        <v>4</v>
      </c>
      <c r="C1330">
        <v>62</v>
      </c>
    </row>
    <row r="1331" spans="1:3">
      <c r="A1331" t="str">
        <f>"932309"</f>
        <v>932309</v>
      </c>
      <c r="B1331" t="s">
        <v>4</v>
      </c>
      <c r="C1331">
        <v>62</v>
      </c>
    </row>
    <row r="1332" spans="1:3">
      <c r="A1332" t="str">
        <f>"932310"</f>
        <v>932310</v>
      </c>
      <c r="B1332" t="s">
        <v>4</v>
      </c>
      <c r="C1332">
        <v>62</v>
      </c>
    </row>
    <row r="1333" spans="1:3">
      <c r="A1333" t="str">
        <f>"932311"</f>
        <v>932311</v>
      </c>
      <c r="B1333" t="s">
        <v>4</v>
      </c>
      <c r="C1333">
        <v>62</v>
      </c>
    </row>
    <row r="1334" spans="1:3">
      <c r="A1334" t="str">
        <f>"932312"</f>
        <v>932312</v>
      </c>
      <c r="B1334" t="s">
        <v>4</v>
      </c>
      <c r="C1334">
        <v>62</v>
      </c>
    </row>
    <row r="1335" spans="1:3">
      <c r="A1335" t="str">
        <f>"932313"</f>
        <v>932313</v>
      </c>
      <c r="B1335" t="s">
        <v>4</v>
      </c>
      <c r="C1335">
        <v>62</v>
      </c>
    </row>
    <row r="1336" spans="1:3">
      <c r="A1336" t="str">
        <f>"932314"</f>
        <v>932314</v>
      </c>
      <c r="B1336" t="s">
        <v>4</v>
      </c>
      <c r="C1336">
        <v>62</v>
      </c>
    </row>
    <row r="1337" spans="1:3">
      <c r="A1337" t="str">
        <f>"932315"</f>
        <v>932315</v>
      </c>
      <c r="B1337" t="s">
        <v>4</v>
      </c>
      <c r="C1337">
        <v>62</v>
      </c>
    </row>
    <row r="1338" spans="1:3">
      <c r="A1338" t="str">
        <f>"932316"</f>
        <v>932316</v>
      </c>
      <c r="B1338" t="s">
        <v>4</v>
      </c>
      <c r="C1338">
        <v>62</v>
      </c>
    </row>
    <row r="1339" spans="1:3">
      <c r="A1339" t="str">
        <f>"932317"</f>
        <v>932317</v>
      </c>
      <c r="B1339" t="s">
        <v>4</v>
      </c>
      <c r="C1339">
        <v>62</v>
      </c>
    </row>
    <row r="1340" spans="1:3">
      <c r="A1340" t="str">
        <f>"932318"</f>
        <v>932318</v>
      </c>
      <c r="B1340" t="s">
        <v>4</v>
      </c>
      <c r="C1340">
        <v>62</v>
      </c>
    </row>
    <row r="1341" spans="1:3">
      <c r="A1341" t="str">
        <f>"932319"</f>
        <v>932319</v>
      </c>
      <c r="B1341" t="s">
        <v>4</v>
      </c>
      <c r="C1341">
        <v>62</v>
      </c>
    </row>
    <row r="1342" spans="1:3">
      <c r="A1342" t="str">
        <f>"932332"</f>
        <v>932332</v>
      </c>
      <c r="B1342" t="s">
        <v>4</v>
      </c>
      <c r="C1342">
        <v>62</v>
      </c>
    </row>
    <row r="1343" spans="1:3">
      <c r="A1343" t="str">
        <f>"932333"</f>
        <v>932333</v>
      </c>
      <c r="B1343" t="s">
        <v>4</v>
      </c>
      <c r="C1343">
        <v>62</v>
      </c>
    </row>
    <row r="1344" spans="1:3">
      <c r="A1344" t="str">
        <f>"932334"</f>
        <v>932334</v>
      </c>
      <c r="B1344" t="s">
        <v>4</v>
      </c>
      <c r="C1344">
        <v>62</v>
      </c>
    </row>
    <row r="1345" spans="1:3">
      <c r="A1345" t="str">
        <f>"932335"</f>
        <v>932335</v>
      </c>
      <c r="B1345" t="s">
        <v>4</v>
      </c>
      <c r="C1345">
        <v>62</v>
      </c>
    </row>
    <row r="1346" spans="1:3">
      <c r="A1346" t="str">
        <f>"932336"</f>
        <v>932336</v>
      </c>
      <c r="B1346" t="s">
        <v>4</v>
      </c>
      <c r="C1346">
        <v>62</v>
      </c>
    </row>
    <row r="1347" spans="1:3">
      <c r="A1347" t="str">
        <f>"932337"</f>
        <v>932337</v>
      </c>
      <c r="B1347" t="s">
        <v>4</v>
      </c>
      <c r="C1347">
        <v>62</v>
      </c>
    </row>
    <row r="1348" spans="1:3">
      <c r="A1348" t="str">
        <f>"932338"</f>
        <v>932338</v>
      </c>
      <c r="B1348" t="s">
        <v>4</v>
      </c>
      <c r="C1348">
        <v>62</v>
      </c>
    </row>
    <row r="1349" spans="1:3">
      <c r="A1349" t="str">
        <f>"932339"</f>
        <v>932339</v>
      </c>
      <c r="B1349" t="s">
        <v>4</v>
      </c>
      <c r="C1349">
        <v>62</v>
      </c>
    </row>
    <row r="1350" spans="1:3">
      <c r="A1350" t="str">
        <f>"932340"</f>
        <v>932340</v>
      </c>
      <c r="B1350" t="s">
        <v>4</v>
      </c>
      <c r="C1350">
        <v>62</v>
      </c>
    </row>
    <row r="1351" spans="1:3">
      <c r="A1351" t="str">
        <f>"932341"</f>
        <v>932341</v>
      </c>
      <c r="B1351" t="s">
        <v>4</v>
      </c>
      <c r="C1351">
        <v>62</v>
      </c>
    </row>
    <row r="1352" spans="1:3">
      <c r="A1352" t="str">
        <f>"932342"</f>
        <v>932342</v>
      </c>
      <c r="B1352" t="s">
        <v>4</v>
      </c>
      <c r="C1352">
        <v>62</v>
      </c>
    </row>
    <row r="1353" spans="1:3">
      <c r="A1353" t="str">
        <f>"932343"</f>
        <v>932343</v>
      </c>
      <c r="B1353" t="s">
        <v>4</v>
      </c>
      <c r="C1353">
        <v>62</v>
      </c>
    </row>
    <row r="1354" spans="1:3">
      <c r="A1354" t="str">
        <f>"932344"</f>
        <v>932344</v>
      </c>
      <c r="B1354" t="s">
        <v>4</v>
      </c>
      <c r="C1354">
        <v>62</v>
      </c>
    </row>
    <row r="1355" spans="1:3">
      <c r="A1355" t="str">
        <f>"932345"</f>
        <v>932345</v>
      </c>
      <c r="B1355" t="s">
        <v>4</v>
      </c>
      <c r="C1355">
        <v>62</v>
      </c>
    </row>
    <row r="1356" spans="1:3">
      <c r="A1356" t="str">
        <f>"932346"</f>
        <v>932346</v>
      </c>
      <c r="B1356" t="s">
        <v>4</v>
      </c>
      <c r="C1356">
        <v>62</v>
      </c>
    </row>
    <row r="1357" spans="1:3">
      <c r="A1357" t="str">
        <f>"932347"</f>
        <v>932347</v>
      </c>
      <c r="B1357" t="s">
        <v>4</v>
      </c>
      <c r="C1357">
        <v>62</v>
      </c>
    </row>
    <row r="1358" spans="1:3">
      <c r="A1358" t="str">
        <f>"932348"</f>
        <v>932348</v>
      </c>
      <c r="B1358" t="s">
        <v>4</v>
      </c>
      <c r="C1358">
        <v>62</v>
      </c>
    </row>
    <row r="1359" spans="1:3">
      <c r="A1359" t="str">
        <f>"932349"</f>
        <v>932349</v>
      </c>
      <c r="B1359" t="s">
        <v>4</v>
      </c>
      <c r="C1359">
        <v>62</v>
      </c>
    </row>
    <row r="1360" spans="1:3">
      <c r="A1360" t="str">
        <f>"932350"</f>
        <v>932350</v>
      </c>
      <c r="B1360" t="s">
        <v>4</v>
      </c>
      <c r="C1360">
        <v>62</v>
      </c>
    </row>
    <row r="1361" spans="1:3">
      <c r="A1361" t="str">
        <f>"932351"</f>
        <v>932351</v>
      </c>
      <c r="B1361" t="s">
        <v>4</v>
      </c>
      <c r="C1361">
        <v>62</v>
      </c>
    </row>
    <row r="1362" spans="1:3">
      <c r="A1362" t="str">
        <f>"932352"</f>
        <v>932352</v>
      </c>
      <c r="B1362" t="s">
        <v>4</v>
      </c>
      <c r="C1362">
        <v>62</v>
      </c>
    </row>
    <row r="1363" spans="1:3">
      <c r="A1363" t="str">
        <f>"932353"</f>
        <v>932353</v>
      </c>
      <c r="B1363" t="s">
        <v>4</v>
      </c>
      <c r="C1363">
        <v>62</v>
      </c>
    </row>
    <row r="1364" spans="1:3">
      <c r="A1364" t="str">
        <f>"932356"</f>
        <v>932356</v>
      </c>
      <c r="B1364" t="s">
        <v>4</v>
      </c>
      <c r="C1364">
        <v>62</v>
      </c>
    </row>
    <row r="1365" spans="1:3">
      <c r="A1365" t="str">
        <f>"932357"</f>
        <v>932357</v>
      </c>
      <c r="B1365" t="s">
        <v>4</v>
      </c>
      <c r="C1365">
        <v>62</v>
      </c>
    </row>
    <row r="1366" spans="1:3">
      <c r="A1366" t="str">
        <f>"932359"</f>
        <v>932359</v>
      </c>
      <c r="B1366" t="s">
        <v>4</v>
      </c>
      <c r="C1366">
        <v>62</v>
      </c>
    </row>
    <row r="1367" spans="1:3">
      <c r="A1367" t="str">
        <f>"932360"</f>
        <v>932360</v>
      </c>
      <c r="B1367" t="s">
        <v>4</v>
      </c>
      <c r="C1367">
        <v>62</v>
      </c>
    </row>
    <row r="1368" spans="1:3">
      <c r="A1368" t="str">
        <f>"932363"</f>
        <v>932363</v>
      </c>
      <c r="B1368" t="s">
        <v>4</v>
      </c>
      <c r="C1368">
        <v>62</v>
      </c>
    </row>
    <row r="1369" spans="1:3">
      <c r="A1369" t="str">
        <f>"932365"</f>
        <v>932365</v>
      </c>
      <c r="B1369" t="s">
        <v>4</v>
      </c>
      <c r="C1369">
        <v>62</v>
      </c>
    </row>
    <row r="1370" spans="1:3">
      <c r="A1370" t="str">
        <f>"932366"</f>
        <v>932366</v>
      </c>
      <c r="B1370" t="s">
        <v>4</v>
      </c>
      <c r="C1370">
        <v>62</v>
      </c>
    </row>
    <row r="1371" spans="1:3">
      <c r="A1371" t="str">
        <f>"932367"</f>
        <v>932367</v>
      </c>
      <c r="B1371" t="s">
        <v>4</v>
      </c>
      <c r="C1371">
        <v>62</v>
      </c>
    </row>
    <row r="1372" spans="1:3">
      <c r="A1372" t="str">
        <f>"932368"</f>
        <v>932368</v>
      </c>
      <c r="B1372" t="s">
        <v>4</v>
      </c>
      <c r="C1372">
        <v>62</v>
      </c>
    </row>
    <row r="1373" spans="1:3">
      <c r="A1373" t="str">
        <f>"932369"</f>
        <v>932369</v>
      </c>
      <c r="B1373" t="s">
        <v>4</v>
      </c>
      <c r="C1373">
        <v>62</v>
      </c>
    </row>
    <row r="1374" spans="1:3">
      <c r="A1374" t="str">
        <f>"932370"</f>
        <v>932370</v>
      </c>
      <c r="B1374" t="s">
        <v>4</v>
      </c>
      <c r="C1374">
        <v>62</v>
      </c>
    </row>
    <row r="1375" spans="1:3">
      <c r="A1375" t="str">
        <f>"932371"</f>
        <v>932371</v>
      </c>
      <c r="B1375" t="s">
        <v>4</v>
      </c>
      <c r="C1375">
        <v>62</v>
      </c>
    </row>
    <row r="1376" spans="1:3">
      <c r="A1376" t="str">
        <f>"932372"</f>
        <v>932372</v>
      </c>
      <c r="B1376" t="s">
        <v>4</v>
      </c>
      <c r="C1376">
        <v>62</v>
      </c>
    </row>
    <row r="1377" spans="1:3">
      <c r="A1377" t="str">
        <f>"932373"</f>
        <v>932373</v>
      </c>
      <c r="B1377" t="s">
        <v>4</v>
      </c>
      <c r="C1377">
        <v>62</v>
      </c>
    </row>
    <row r="1378" spans="1:3">
      <c r="A1378" t="str">
        <f>"932374"</f>
        <v>932374</v>
      </c>
      <c r="B1378" t="s">
        <v>4</v>
      </c>
      <c r="C1378">
        <v>62</v>
      </c>
    </row>
    <row r="1379" spans="1:3">
      <c r="A1379" t="str">
        <f>"932375"</f>
        <v>932375</v>
      </c>
      <c r="B1379" t="s">
        <v>4</v>
      </c>
      <c r="C1379">
        <v>62</v>
      </c>
    </row>
    <row r="1380" spans="1:3">
      <c r="A1380" t="str">
        <f>"932376"</f>
        <v>932376</v>
      </c>
      <c r="B1380" t="s">
        <v>4</v>
      </c>
      <c r="C1380">
        <v>62</v>
      </c>
    </row>
    <row r="1381" spans="1:3">
      <c r="A1381" t="str">
        <f>"932377"</f>
        <v>932377</v>
      </c>
      <c r="B1381" t="s">
        <v>4</v>
      </c>
      <c r="C1381">
        <v>62</v>
      </c>
    </row>
    <row r="1382" spans="1:3">
      <c r="A1382" t="str">
        <f>"932378"</f>
        <v>932378</v>
      </c>
      <c r="B1382" t="s">
        <v>4</v>
      </c>
      <c r="C1382">
        <v>62</v>
      </c>
    </row>
    <row r="1383" spans="1:3">
      <c r="A1383" t="str">
        <f>"932379"</f>
        <v>932379</v>
      </c>
      <c r="B1383" t="s">
        <v>4</v>
      </c>
      <c r="C1383">
        <v>62</v>
      </c>
    </row>
    <row r="1384" spans="1:3">
      <c r="A1384" t="str">
        <f>"932380"</f>
        <v>932380</v>
      </c>
      <c r="B1384" t="s">
        <v>4</v>
      </c>
      <c r="C1384">
        <v>62</v>
      </c>
    </row>
    <row r="1385" spans="1:3">
      <c r="A1385" t="str">
        <f>"932381"</f>
        <v>932381</v>
      </c>
      <c r="B1385" t="s">
        <v>4</v>
      </c>
      <c r="C1385">
        <v>62</v>
      </c>
    </row>
    <row r="1386" spans="1:3">
      <c r="A1386" t="str">
        <f>"932382"</f>
        <v>932382</v>
      </c>
      <c r="B1386" t="s">
        <v>4</v>
      </c>
      <c r="C1386">
        <v>62</v>
      </c>
    </row>
    <row r="1387" spans="1:3">
      <c r="A1387" t="str">
        <f>"932386"</f>
        <v>932386</v>
      </c>
      <c r="B1387" t="s">
        <v>4</v>
      </c>
      <c r="C1387">
        <v>62</v>
      </c>
    </row>
    <row r="1388" spans="1:3">
      <c r="A1388" t="str">
        <f>"932387"</f>
        <v>932387</v>
      </c>
      <c r="B1388" t="s">
        <v>4</v>
      </c>
      <c r="C1388">
        <v>62</v>
      </c>
    </row>
    <row r="1389" spans="1:3">
      <c r="A1389" t="str">
        <f>"932388"</f>
        <v>932388</v>
      </c>
      <c r="B1389" t="s">
        <v>4</v>
      </c>
      <c r="C1389">
        <v>62</v>
      </c>
    </row>
    <row r="1390" spans="1:3">
      <c r="A1390" t="str">
        <f>"932389"</f>
        <v>932389</v>
      </c>
      <c r="B1390" t="s">
        <v>4</v>
      </c>
      <c r="C1390">
        <v>62</v>
      </c>
    </row>
    <row r="1391" spans="1:3">
      <c r="A1391" t="str">
        <f>"932390"</f>
        <v>932390</v>
      </c>
      <c r="B1391" t="s">
        <v>4</v>
      </c>
      <c r="C1391">
        <v>62</v>
      </c>
    </row>
    <row r="1392" spans="1:3">
      <c r="A1392" t="str">
        <f>"932391"</f>
        <v>932391</v>
      </c>
      <c r="B1392" t="s">
        <v>4</v>
      </c>
      <c r="C1392">
        <v>62</v>
      </c>
    </row>
    <row r="1393" spans="1:3">
      <c r="A1393" t="str">
        <f>"932392"</f>
        <v>932392</v>
      </c>
      <c r="B1393" t="s">
        <v>4</v>
      </c>
      <c r="C1393">
        <v>62</v>
      </c>
    </row>
    <row r="1394" spans="1:3">
      <c r="A1394" t="str">
        <f>"932393"</f>
        <v>932393</v>
      </c>
      <c r="B1394" t="s">
        <v>4</v>
      </c>
      <c r="C1394">
        <v>62</v>
      </c>
    </row>
    <row r="1395" spans="1:3">
      <c r="A1395" t="str">
        <f>"932394"</f>
        <v>932394</v>
      </c>
      <c r="B1395" t="s">
        <v>4</v>
      </c>
      <c r="C1395">
        <v>62</v>
      </c>
    </row>
    <row r="1396" spans="1:3">
      <c r="A1396" t="str">
        <f>"932395"</f>
        <v>932395</v>
      </c>
      <c r="B1396" t="s">
        <v>4</v>
      </c>
      <c r="C1396">
        <v>62</v>
      </c>
    </row>
    <row r="1397" spans="1:3">
      <c r="A1397" t="str">
        <f>"932396"</f>
        <v>932396</v>
      </c>
      <c r="B1397" t="s">
        <v>4</v>
      </c>
      <c r="C1397">
        <v>62</v>
      </c>
    </row>
    <row r="1398" spans="1:3">
      <c r="A1398" t="str">
        <f>"932397"</f>
        <v>932397</v>
      </c>
      <c r="B1398" t="s">
        <v>4</v>
      </c>
      <c r="C1398">
        <v>62</v>
      </c>
    </row>
    <row r="1399" spans="1:3">
      <c r="A1399" t="str">
        <f>"932398"</f>
        <v>932398</v>
      </c>
      <c r="B1399" t="s">
        <v>4</v>
      </c>
      <c r="C1399">
        <v>62</v>
      </c>
    </row>
    <row r="1400" spans="1:3">
      <c r="A1400" t="str">
        <f>"932399"</f>
        <v>932399</v>
      </c>
      <c r="B1400" t="s">
        <v>4</v>
      </c>
      <c r="C1400">
        <v>62</v>
      </c>
    </row>
    <row r="1401" spans="1:3">
      <c r="A1401" t="str">
        <f>"932400"</f>
        <v>932400</v>
      </c>
      <c r="B1401" t="s">
        <v>4</v>
      </c>
      <c r="C1401">
        <v>62</v>
      </c>
    </row>
    <row r="1402" spans="1:3">
      <c r="A1402" t="str">
        <f>"932401"</f>
        <v>932401</v>
      </c>
      <c r="B1402" t="s">
        <v>4</v>
      </c>
      <c r="C1402">
        <v>62</v>
      </c>
    </row>
    <row r="1403" spans="1:3">
      <c r="A1403" t="str">
        <f>"932402"</f>
        <v>932402</v>
      </c>
      <c r="B1403" t="s">
        <v>4</v>
      </c>
      <c r="C1403">
        <v>62</v>
      </c>
    </row>
    <row r="1404" spans="1:3">
      <c r="A1404" t="str">
        <f>"932403"</f>
        <v>932403</v>
      </c>
      <c r="B1404" t="s">
        <v>4</v>
      </c>
      <c r="C1404">
        <v>62</v>
      </c>
    </row>
    <row r="1405" spans="1:3">
      <c r="A1405" t="str">
        <f>"932404"</f>
        <v>932404</v>
      </c>
      <c r="B1405" t="s">
        <v>4</v>
      </c>
      <c r="C1405">
        <v>62</v>
      </c>
    </row>
    <row r="1406" spans="1:3">
      <c r="A1406" t="str">
        <f>"932405"</f>
        <v>932405</v>
      </c>
      <c r="B1406" t="s">
        <v>4</v>
      </c>
      <c r="C1406">
        <v>62</v>
      </c>
    </row>
    <row r="1407" spans="1:3">
      <c r="A1407" t="str">
        <f>"932406"</f>
        <v>932406</v>
      </c>
      <c r="B1407" t="s">
        <v>4</v>
      </c>
      <c r="C1407">
        <v>62</v>
      </c>
    </row>
    <row r="1408" spans="1:3">
      <c r="A1408" t="str">
        <f>"932407"</f>
        <v>932407</v>
      </c>
      <c r="B1408" t="s">
        <v>4</v>
      </c>
      <c r="C1408">
        <v>62</v>
      </c>
    </row>
    <row r="1409" spans="1:3">
      <c r="A1409" t="str">
        <f>"932408"</f>
        <v>932408</v>
      </c>
      <c r="B1409" t="s">
        <v>4</v>
      </c>
      <c r="C1409">
        <v>62</v>
      </c>
    </row>
    <row r="1410" spans="1:3">
      <c r="A1410" t="str">
        <f>"932409"</f>
        <v>932409</v>
      </c>
      <c r="B1410" t="s">
        <v>4</v>
      </c>
      <c r="C1410">
        <v>62</v>
      </c>
    </row>
    <row r="1411" spans="1:3">
      <c r="A1411" t="str">
        <f>"932419"</f>
        <v>932419</v>
      </c>
      <c r="B1411" t="s">
        <v>4</v>
      </c>
      <c r="C1411">
        <v>62</v>
      </c>
    </row>
    <row r="1412" spans="1:3">
      <c r="A1412" t="str">
        <f>"932420"</f>
        <v>932420</v>
      </c>
      <c r="B1412" t="s">
        <v>4</v>
      </c>
      <c r="C1412">
        <v>62</v>
      </c>
    </row>
    <row r="1413" spans="1:3">
      <c r="A1413" t="str">
        <f>"932421"</f>
        <v>932421</v>
      </c>
      <c r="B1413" t="s">
        <v>4</v>
      </c>
      <c r="C1413">
        <v>62</v>
      </c>
    </row>
    <row r="1414" spans="1:3">
      <c r="A1414" t="str">
        <f>"932422"</f>
        <v>932422</v>
      </c>
      <c r="B1414" t="s">
        <v>4</v>
      </c>
      <c r="C1414">
        <v>62</v>
      </c>
    </row>
    <row r="1415" spans="1:3">
      <c r="A1415" t="str">
        <f>"932423"</f>
        <v>932423</v>
      </c>
      <c r="B1415" t="s">
        <v>4</v>
      </c>
      <c r="C1415">
        <v>62</v>
      </c>
    </row>
    <row r="1416" spans="1:3">
      <c r="A1416" t="str">
        <f>"932424"</f>
        <v>932424</v>
      </c>
      <c r="B1416" t="s">
        <v>4</v>
      </c>
      <c r="C1416">
        <v>62</v>
      </c>
    </row>
    <row r="1417" spans="1:3">
      <c r="A1417" t="str">
        <f>"932426"</f>
        <v>932426</v>
      </c>
      <c r="B1417" t="s">
        <v>4</v>
      </c>
      <c r="C1417">
        <v>62</v>
      </c>
    </row>
    <row r="1418" spans="1:3">
      <c r="A1418" t="str">
        <f>"932427"</f>
        <v>932427</v>
      </c>
      <c r="B1418" t="s">
        <v>4</v>
      </c>
      <c r="C1418">
        <v>62</v>
      </c>
    </row>
    <row r="1419" spans="1:3">
      <c r="A1419" t="str">
        <f>"932428"</f>
        <v>932428</v>
      </c>
      <c r="B1419" t="s">
        <v>4</v>
      </c>
      <c r="C1419">
        <v>62</v>
      </c>
    </row>
    <row r="1420" spans="1:3">
      <c r="A1420" t="str">
        <f>"932429"</f>
        <v>932429</v>
      </c>
      <c r="B1420" t="s">
        <v>4</v>
      </c>
      <c r="C1420">
        <v>62</v>
      </c>
    </row>
    <row r="1421" spans="1:3">
      <c r="A1421" t="str">
        <f>"932430"</f>
        <v>932430</v>
      </c>
      <c r="B1421" t="s">
        <v>4</v>
      </c>
      <c r="C1421">
        <v>62</v>
      </c>
    </row>
    <row r="1422" spans="1:3">
      <c r="A1422" t="str">
        <f>"932431"</f>
        <v>932431</v>
      </c>
      <c r="B1422" t="s">
        <v>4</v>
      </c>
      <c r="C1422">
        <v>62</v>
      </c>
    </row>
    <row r="1423" spans="1:3">
      <c r="A1423" t="str">
        <f>"932432"</f>
        <v>932432</v>
      </c>
      <c r="B1423" t="s">
        <v>4</v>
      </c>
      <c r="C1423">
        <v>62</v>
      </c>
    </row>
    <row r="1424" spans="1:3">
      <c r="A1424" t="str">
        <f>"932433"</f>
        <v>932433</v>
      </c>
      <c r="B1424" t="s">
        <v>4</v>
      </c>
      <c r="C1424">
        <v>62</v>
      </c>
    </row>
    <row r="1425" spans="1:3">
      <c r="A1425" t="str">
        <f>"932434"</f>
        <v>932434</v>
      </c>
      <c r="B1425" t="s">
        <v>4</v>
      </c>
      <c r="C1425">
        <v>62</v>
      </c>
    </row>
    <row r="1426" spans="1:3">
      <c r="A1426" t="str">
        <f>"932438"</f>
        <v>932438</v>
      </c>
      <c r="B1426" t="s">
        <v>4</v>
      </c>
      <c r="C1426">
        <v>62</v>
      </c>
    </row>
    <row r="1427" spans="1:3">
      <c r="A1427" t="str">
        <f>"932440"</f>
        <v>932440</v>
      </c>
      <c r="B1427" t="s">
        <v>4</v>
      </c>
      <c r="C1427">
        <v>62</v>
      </c>
    </row>
    <row r="1428" spans="1:3">
      <c r="A1428" t="str">
        <f>"932446"</f>
        <v>932446</v>
      </c>
      <c r="B1428" t="s">
        <v>4</v>
      </c>
      <c r="C1428">
        <v>62</v>
      </c>
    </row>
    <row r="1429" spans="1:3">
      <c r="A1429" t="str">
        <f>"932448"</f>
        <v>932448</v>
      </c>
      <c r="B1429" t="s">
        <v>4</v>
      </c>
      <c r="C1429">
        <v>62</v>
      </c>
    </row>
    <row r="1430" spans="1:3">
      <c r="A1430" t="str">
        <f>"932451"</f>
        <v>932451</v>
      </c>
      <c r="B1430" t="s">
        <v>4</v>
      </c>
      <c r="C1430">
        <v>62</v>
      </c>
    </row>
    <row r="1431" spans="1:3">
      <c r="A1431" t="str">
        <f>"932453"</f>
        <v>932453</v>
      </c>
      <c r="B1431" t="s">
        <v>4</v>
      </c>
      <c r="C1431">
        <v>62</v>
      </c>
    </row>
    <row r="1432" spans="1:3">
      <c r="A1432" t="str">
        <f>"932456"</f>
        <v>932456</v>
      </c>
      <c r="B1432" t="s">
        <v>4</v>
      </c>
      <c r="C1432">
        <v>62</v>
      </c>
    </row>
    <row r="1433" spans="1:3">
      <c r="A1433" t="str">
        <f>"932460"</f>
        <v>932460</v>
      </c>
      <c r="B1433" t="s">
        <v>4</v>
      </c>
      <c r="C1433">
        <v>62</v>
      </c>
    </row>
    <row r="1434" spans="1:3">
      <c r="A1434" t="str">
        <f>"932461"</f>
        <v>932461</v>
      </c>
      <c r="B1434" t="s">
        <v>4</v>
      </c>
      <c r="C1434">
        <v>62</v>
      </c>
    </row>
    <row r="1435" spans="1:3">
      <c r="A1435" t="str">
        <f>"932465"</f>
        <v>932465</v>
      </c>
      <c r="B1435" t="s">
        <v>4</v>
      </c>
      <c r="C1435">
        <v>62</v>
      </c>
    </row>
    <row r="1436" spans="1:3">
      <c r="A1436" t="str">
        <f>"932476"</f>
        <v>932476</v>
      </c>
      <c r="B1436" t="s">
        <v>4</v>
      </c>
      <c r="C1436">
        <v>62</v>
      </c>
    </row>
    <row r="1437" spans="1:3">
      <c r="A1437" t="str">
        <f>"932482"</f>
        <v>932482</v>
      </c>
      <c r="B1437" t="s">
        <v>4</v>
      </c>
      <c r="C1437">
        <v>62</v>
      </c>
    </row>
    <row r="1438" spans="1:3">
      <c r="A1438" t="str">
        <f>"932483"</f>
        <v>932483</v>
      </c>
      <c r="B1438" t="s">
        <v>4</v>
      </c>
      <c r="C1438">
        <v>62</v>
      </c>
    </row>
    <row r="1439" spans="1:3">
      <c r="A1439" t="str">
        <f>"932484"</f>
        <v>932484</v>
      </c>
      <c r="B1439" t="s">
        <v>4</v>
      </c>
      <c r="C1439">
        <v>62</v>
      </c>
    </row>
    <row r="1440" spans="1:3">
      <c r="A1440" t="str">
        <f>"932488"</f>
        <v>932488</v>
      </c>
      <c r="B1440" t="s">
        <v>4</v>
      </c>
      <c r="C1440">
        <v>62</v>
      </c>
    </row>
    <row r="1441" spans="1:3">
      <c r="A1441" t="str">
        <f>"932489"</f>
        <v>932489</v>
      </c>
      <c r="B1441" t="s">
        <v>4</v>
      </c>
      <c r="C1441">
        <v>62</v>
      </c>
    </row>
    <row r="1442" spans="1:3">
      <c r="A1442" t="str">
        <f>"932490"</f>
        <v>932490</v>
      </c>
      <c r="B1442" t="s">
        <v>4</v>
      </c>
      <c r="C1442">
        <v>62</v>
      </c>
    </row>
    <row r="1443" spans="1:3">
      <c r="A1443" t="str">
        <f>"932491"</f>
        <v>932491</v>
      </c>
      <c r="B1443" t="s">
        <v>4</v>
      </c>
      <c r="C1443">
        <v>62</v>
      </c>
    </row>
    <row r="1444" spans="1:3">
      <c r="A1444" t="str">
        <f>"932492"</f>
        <v>932492</v>
      </c>
      <c r="B1444" t="s">
        <v>4</v>
      </c>
      <c r="C1444">
        <v>62</v>
      </c>
    </row>
    <row r="1445" spans="1:3">
      <c r="A1445" t="str">
        <f>"932536"</f>
        <v>932536</v>
      </c>
      <c r="B1445" t="s">
        <v>4</v>
      </c>
      <c r="C1445">
        <v>62</v>
      </c>
    </row>
    <row r="1446" spans="1:3">
      <c r="A1446" t="str">
        <f>"933000"</f>
        <v>933000</v>
      </c>
      <c r="B1446" t="s">
        <v>4</v>
      </c>
      <c r="C1446">
        <v>62</v>
      </c>
    </row>
    <row r="1447" spans="1:3">
      <c r="A1447" t="str">
        <f>"950041"</f>
        <v>950041</v>
      </c>
      <c r="B1447" t="s">
        <v>4</v>
      </c>
      <c r="C1447">
        <v>62</v>
      </c>
    </row>
    <row r="1448" spans="1:3">
      <c r="A1448" t="str">
        <f>"950045"</f>
        <v>950045</v>
      </c>
      <c r="B1448" t="s">
        <v>4</v>
      </c>
      <c r="C1448">
        <v>62</v>
      </c>
    </row>
    <row r="1449" spans="1:3">
      <c r="A1449" t="str">
        <f>"950046"</f>
        <v>950046</v>
      </c>
      <c r="B1449" t="s">
        <v>4</v>
      </c>
      <c r="C1449">
        <v>62</v>
      </c>
    </row>
    <row r="1450" spans="1:3">
      <c r="A1450" t="str">
        <f>"950047"</f>
        <v>950047</v>
      </c>
      <c r="B1450" t="s">
        <v>4</v>
      </c>
      <c r="C1450">
        <v>62</v>
      </c>
    </row>
    <row r="1451" spans="1:3">
      <c r="A1451" t="str">
        <f>"950048"</f>
        <v>950048</v>
      </c>
      <c r="B1451" t="s">
        <v>4</v>
      </c>
      <c r="C1451">
        <v>62</v>
      </c>
    </row>
    <row r="1452" spans="1:3">
      <c r="A1452" t="str">
        <f>"950049"</f>
        <v>950049</v>
      </c>
      <c r="B1452" t="s">
        <v>4</v>
      </c>
      <c r="C1452">
        <v>62</v>
      </c>
    </row>
    <row r="1453" spans="1:3">
      <c r="A1453" t="str">
        <f>"950050"</f>
        <v>950050</v>
      </c>
      <c r="B1453" t="s">
        <v>4</v>
      </c>
      <c r="C1453">
        <v>62</v>
      </c>
    </row>
    <row r="1454" spans="1:3">
      <c r="A1454" t="str">
        <f>"950051"</f>
        <v>950051</v>
      </c>
      <c r="B1454" t="s">
        <v>4</v>
      </c>
      <c r="C1454">
        <v>62</v>
      </c>
    </row>
    <row r="1455" spans="1:3">
      <c r="A1455" t="str">
        <f>"950070"</f>
        <v>950070</v>
      </c>
      <c r="B1455" t="s">
        <v>4</v>
      </c>
      <c r="C1455">
        <v>62</v>
      </c>
    </row>
    <row r="1456" spans="1:3">
      <c r="A1456" t="str">
        <f>"950071"</f>
        <v>950071</v>
      </c>
      <c r="B1456" t="s">
        <v>4</v>
      </c>
      <c r="C1456">
        <v>62</v>
      </c>
    </row>
    <row r="1457" spans="1:3">
      <c r="A1457" t="str">
        <f>"950072"</f>
        <v>950072</v>
      </c>
      <c r="B1457" t="s">
        <v>4</v>
      </c>
      <c r="C1457">
        <v>62</v>
      </c>
    </row>
    <row r="1458" spans="1:3">
      <c r="A1458" t="str">
        <f>"950073"</f>
        <v>950073</v>
      </c>
      <c r="B1458" t="s">
        <v>4</v>
      </c>
      <c r="C1458">
        <v>62</v>
      </c>
    </row>
    <row r="1459" spans="1:3">
      <c r="A1459" t="str">
        <f>"950074"</f>
        <v>950074</v>
      </c>
      <c r="B1459" t="s">
        <v>4</v>
      </c>
      <c r="C1459">
        <v>62</v>
      </c>
    </row>
    <row r="1460" spans="1:3">
      <c r="A1460" t="str">
        <f>"950075"</f>
        <v>950075</v>
      </c>
      <c r="B1460" t="s">
        <v>4</v>
      </c>
      <c r="C1460">
        <v>62</v>
      </c>
    </row>
    <row r="1461" spans="1:3">
      <c r="A1461" t="str">
        <f>"950076"</f>
        <v>950076</v>
      </c>
      <c r="B1461" t="s">
        <v>4</v>
      </c>
      <c r="C1461">
        <v>62</v>
      </c>
    </row>
    <row r="1462" spans="1:3">
      <c r="A1462" t="str">
        <f>"950077"</f>
        <v>950077</v>
      </c>
      <c r="B1462" t="s">
        <v>4</v>
      </c>
      <c r="C1462">
        <v>62</v>
      </c>
    </row>
    <row r="1463" spans="1:3">
      <c r="A1463" t="str">
        <f>"950078"</f>
        <v>950078</v>
      </c>
      <c r="B1463" t="s">
        <v>4</v>
      </c>
      <c r="C1463">
        <v>62</v>
      </c>
    </row>
    <row r="1464" spans="1:3">
      <c r="A1464" t="str">
        <f>"950081"</f>
        <v>950081</v>
      </c>
      <c r="B1464" t="s">
        <v>4</v>
      </c>
      <c r="C1464">
        <v>62</v>
      </c>
    </row>
    <row r="1465" spans="1:3">
      <c r="A1465" t="str">
        <f>"950082"</f>
        <v>950082</v>
      </c>
      <c r="B1465" t="s">
        <v>4</v>
      </c>
      <c r="C1465">
        <v>62</v>
      </c>
    </row>
    <row r="1466" spans="1:3">
      <c r="A1466" t="str">
        <f>"950083"</f>
        <v>950083</v>
      </c>
      <c r="B1466" t="s">
        <v>4</v>
      </c>
      <c r="C1466">
        <v>62</v>
      </c>
    </row>
    <row r="1467" spans="1:3">
      <c r="A1467" t="str">
        <f>"950084"</f>
        <v>950084</v>
      </c>
      <c r="B1467" t="s">
        <v>4</v>
      </c>
      <c r="C1467">
        <v>62</v>
      </c>
    </row>
    <row r="1468" spans="1:3">
      <c r="A1468" t="str">
        <f>"950085"</f>
        <v>950085</v>
      </c>
      <c r="B1468" t="s">
        <v>4</v>
      </c>
      <c r="C1468">
        <v>62</v>
      </c>
    </row>
    <row r="1469" spans="1:3">
      <c r="A1469" t="str">
        <f>"950086"</f>
        <v>950086</v>
      </c>
      <c r="B1469" t="s">
        <v>4</v>
      </c>
      <c r="C1469">
        <v>62</v>
      </c>
    </row>
    <row r="1470" spans="1:3">
      <c r="A1470" t="str">
        <f>"950087"</f>
        <v>950087</v>
      </c>
      <c r="B1470" t="s">
        <v>4</v>
      </c>
      <c r="C1470">
        <v>62</v>
      </c>
    </row>
    <row r="1471" spans="1:3">
      <c r="A1471" t="str">
        <f>"950088"</f>
        <v>950088</v>
      </c>
      <c r="B1471" t="s">
        <v>4</v>
      </c>
      <c r="C1471">
        <v>62</v>
      </c>
    </row>
    <row r="1472" spans="1:3">
      <c r="A1472" t="str">
        <f>"950089"</f>
        <v>950089</v>
      </c>
      <c r="B1472" t="s">
        <v>4</v>
      </c>
      <c r="C1472">
        <v>62</v>
      </c>
    </row>
    <row r="1473" spans="1:3">
      <c r="A1473" t="str">
        <f>"950090"</f>
        <v>950090</v>
      </c>
      <c r="B1473" t="s">
        <v>4</v>
      </c>
      <c r="C1473">
        <v>62</v>
      </c>
    </row>
    <row r="1474" spans="1:3">
      <c r="A1474" t="str">
        <f>"950092"</f>
        <v>950092</v>
      </c>
      <c r="B1474" t="s">
        <v>4</v>
      </c>
      <c r="C1474">
        <v>62</v>
      </c>
    </row>
    <row r="1475" spans="1:3">
      <c r="A1475" t="str">
        <f>"950094"</f>
        <v>950094</v>
      </c>
      <c r="B1475" t="s">
        <v>4</v>
      </c>
      <c r="C1475">
        <v>62</v>
      </c>
    </row>
    <row r="1476" spans="1:3">
      <c r="A1476" t="str">
        <f>"950095"</f>
        <v>950095</v>
      </c>
      <c r="B1476" t="s">
        <v>4</v>
      </c>
      <c r="C1476">
        <v>62</v>
      </c>
    </row>
    <row r="1477" spans="1:3">
      <c r="A1477" t="str">
        <f>"950096"</f>
        <v>950096</v>
      </c>
      <c r="B1477" t="s">
        <v>4</v>
      </c>
      <c r="C1477">
        <v>62</v>
      </c>
    </row>
    <row r="1478" spans="1:3">
      <c r="A1478" t="str">
        <f>"950097"</f>
        <v>950097</v>
      </c>
      <c r="B1478" t="s">
        <v>4</v>
      </c>
      <c r="C1478">
        <v>62</v>
      </c>
    </row>
    <row r="1479" spans="1:3">
      <c r="A1479" t="str">
        <f>"950100"</f>
        <v>950100</v>
      </c>
      <c r="B1479" t="s">
        <v>4</v>
      </c>
      <c r="C1479">
        <v>62</v>
      </c>
    </row>
    <row r="1480" spans="1:3">
      <c r="A1480" t="str">
        <f>"950101"</f>
        <v>950101</v>
      </c>
      <c r="B1480" t="s">
        <v>4</v>
      </c>
      <c r="C1480">
        <v>62</v>
      </c>
    </row>
    <row r="1481" spans="1:3">
      <c r="A1481" t="str">
        <f>"950102"</f>
        <v>950102</v>
      </c>
      <c r="B1481" t="s">
        <v>4</v>
      </c>
      <c r="C1481">
        <v>62</v>
      </c>
    </row>
    <row r="1482" spans="1:3">
      <c r="A1482" t="str">
        <f>"950103"</f>
        <v>950103</v>
      </c>
      <c r="B1482" t="s">
        <v>4</v>
      </c>
      <c r="C1482">
        <v>62</v>
      </c>
    </row>
    <row r="1483" spans="1:3">
      <c r="A1483" t="str">
        <f>"950105"</f>
        <v>950105</v>
      </c>
      <c r="B1483" t="s">
        <v>4</v>
      </c>
      <c r="C1483">
        <v>62</v>
      </c>
    </row>
    <row r="1484" spans="1:3">
      <c r="A1484" t="str">
        <f>"950106"</f>
        <v>950106</v>
      </c>
      <c r="B1484" t="s">
        <v>4</v>
      </c>
      <c r="C1484">
        <v>62</v>
      </c>
    </row>
    <row r="1485" spans="1:3">
      <c r="A1485" t="str">
        <f>"950107"</f>
        <v>950107</v>
      </c>
      <c r="B1485" t="s">
        <v>4</v>
      </c>
      <c r="C1485">
        <v>62</v>
      </c>
    </row>
    <row r="1486" spans="1:3">
      <c r="A1486" t="str">
        <f>"950108"</f>
        <v>950108</v>
      </c>
      <c r="B1486" t="s">
        <v>4</v>
      </c>
      <c r="C1486">
        <v>62</v>
      </c>
    </row>
    <row r="1487" spans="1:3">
      <c r="A1487" t="str">
        <f>"950109"</f>
        <v>950109</v>
      </c>
      <c r="B1487" t="s">
        <v>4</v>
      </c>
      <c r="C1487">
        <v>62</v>
      </c>
    </row>
    <row r="1488" spans="1:3">
      <c r="A1488" t="str">
        <f>"950110"</f>
        <v>950110</v>
      </c>
      <c r="B1488" t="s">
        <v>4</v>
      </c>
      <c r="C1488">
        <v>62</v>
      </c>
    </row>
    <row r="1489" spans="1:3">
      <c r="A1489" t="str">
        <f>"950111"</f>
        <v>950111</v>
      </c>
      <c r="B1489" t="s">
        <v>4</v>
      </c>
      <c r="C1489">
        <v>62</v>
      </c>
    </row>
    <row r="1490" spans="1:3">
      <c r="A1490" t="str">
        <f>"950112"</f>
        <v>950112</v>
      </c>
      <c r="B1490" t="s">
        <v>4</v>
      </c>
      <c r="C1490">
        <v>62</v>
      </c>
    </row>
    <row r="1491" spans="1:3">
      <c r="A1491" t="str">
        <f>"950113"</f>
        <v>950113</v>
      </c>
      <c r="B1491" t="s">
        <v>4</v>
      </c>
      <c r="C1491">
        <v>62</v>
      </c>
    </row>
    <row r="1492" spans="1:3">
      <c r="A1492" t="str">
        <f>"950115"</f>
        <v>950115</v>
      </c>
      <c r="B1492" t="s">
        <v>4</v>
      </c>
      <c r="C1492">
        <v>62</v>
      </c>
    </row>
    <row r="1493" spans="1:3">
      <c r="A1493" t="str">
        <f>"950116"</f>
        <v>950116</v>
      </c>
      <c r="B1493" t="s">
        <v>4</v>
      </c>
      <c r="C1493">
        <v>62</v>
      </c>
    </row>
    <row r="1494" spans="1:3">
      <c r="A1494" t="str">
        <f>"950117"</f>
        <v>950117</v>
      </c>
      <c r="B1494" t="s">
        <v>4</v>
      </c>
      <c r="C1494">
        <v>62</v>
      </c>
    </row>
    <row r="1495" spans="1:3">
      <c r="A1495" t="str">
        <f>"950118"</f>
        <v>950118</v>
      </c>
      <c r="B1495" t="s">
        <v>4</v>
      </c>
      <c r="C1495">
        <v>62</v>
      </c>
    </row>
    <row r="1496" spans="1:3">
      <c r="A1496" t="str">
        <f>"950119"</f>
        <v>950119</v>
      </c>
      <c r="B1496" t="s">
        <v>4</v>
      </c>
      <c r="C1496">
        <v>62</v>
      </c>
    </row>
    <row r="1497" spans="1:3">
      <c r="A1497" t="str">
        <f>"950120"</f>
        <v>950120</v>
      </c>
      <c r="B1497" t="s">
        <v>4</v>
      </c>
      <c r="C1497">
        <v>62</v>
      </c>
    </row>
    <row r="1498" spans="1:3">
      <c r="A1498" t="str">
        <f>"950122"</f>
        <v>950122</v>
      </c>
      <c r="B1498" t="s">
        <v>4</v>
      </c>
      <c r="C1498">
        <v>62</v>
      </c>
    </row>
    <row r="1499" spans="1:3">
      <c r="A1499" t="str">
        <f>"950125"</f>
        <v>950125</v>
      </c>
      <c r="B1499" t="s">
        <v>4</v>
      </c>
      <c r="C1499">
        <v>62</v>
      </c>
    </row>
    <row r="1500" spans="1:3">
      <c r="A1500" t="str">
        <f>"950126"</f>
        <v>950126</v>
      </c>
      <c r="B1500" t="s">
        <v>4</v>
      </c>
      <c r="C1500">
        <v>62</v>
      </c>
    </row>
    <row r="1501" spans="1:3">
      <c r="A1501" t="str">
        <f>"950127"</f>
        <v>950127</v>
      </c>
      <c r="B1501" t="s">
        <v>4</v>
      </c>
      <c r="C1501">
        <v>62</v>
      </c>
    </row>
    <row r="1502" spans="1:3">
      <c r="A1502" t="str">
        <f>"950128"</f>
        <v>950128</v>
      </c>
      <c r="B1502" t="s">
        <v>4</v>
      </c>
      <c r="C1502">
        <v>62</v>
      </c>
    </row>
    <row r="1503" spans="1:3">
      <c r="A1503" t="str">
        <f>"950129"</f>
        <v>950129</v>
      </c>
      <c r="B1503" t="s">
        <v>4</v>
      </c>
      <c r="C1503">
        <v>62</v>
      </c>
    </row>
    <row r="1504" spans="1:3">
      <c r="A1504" t="str">
        <f>"950130"</f>
        <v>950130</v>
      </c>
      <c r="B1504" t="s">
        <v>4</v>
      </c>
      <c r="C1504">
        <v>62</v>
      </c>
    </row>
    <row r="1505" spans="1:3">
      <c r="A1505" t="str">
        <f>"950131"</f>
        <v>950131</v>
      </c>
      <c r="B1505" t="s">
        <v>4</v>
      </c>
      <c r="C1505">
        <v>62</v>
      </c>
    </row>
    <row r="1506" spans="1:3">
      <c r="A1506" t="str">
        <f>"950132"</f>
        <v>950132</v>
      </c>
      <c r="B1506" t="s">
        <v>4</v>
      </c>
      <c r="C1506">
        <v>62</v>
      </c>
    </row>
    <row r="1507" spans="1:3">
      <c r="A1507" t="str">
        <f>"950133"</f>
        <v>950133</v>
      </c>
      <c r="B1507" t="s">
        <v>4</v>
      </c>
      <c r="C1507">
        <v>62</v>
      </c>
    </row>
    <row r="1508" spans="1:3">
      <c r="A1508" t="str">
        <f>"950134"</f>
        <v>950134</v>
      </c>
      <c r="B1508" t="s">
        <v>4</v>
      </c>
      <c r="C1508">
        <v>62</v>
      </c>
    </row>
    <row r="1509" spans="1:3">
      <c r="A1509" t="str">
        <f>"950135"</f>
        <v>950135</v>
      </c>
      <c r="B1509" t="s">
        <v>4</v>
      </c>
      <c r="C1509">
        <v>62</v>
      </c>
    </row>
    <row r="1510" spans="1:3">
      <c r="A1510" t="str">
        <f>"950136"</f>
        <v>950136</v>
      </c>
      <c r="B1510" t="s">
        <v>4</v>
      </c>
      <c r="C1510">
        <v>62</v>
      </c>
    </row>
    <row r="1511" spans="1:3">
      <c r="A1511" t="str">
        <f>"950137"</f>
        <v>950137</v>
      </c>
      <c r="B1511" t="s">
        <v>4</v>
      </c>
      <c r="C1511">
        <v>62</v>
      </c>
    </row>
    <row r="1512" spans="1:3">
      <c r="A1512" t="str">
        <f>"950138"</f>
        <v>950138</v>
      </c>
      <c r="B1512" t="s">
        <v>4</v>
      </c>
      <c r="C1512">
        <v>62</v>
      </c>
    </row>
    <row r="1513" spans="1:3">
      <c r="A1513" t="str">
        <f>"950139"</f>
        <v>950139</v>
      </c>
      <c r="B1513" t="s">
        <v>4</v>
      </c>
      <c r="C1513">
        <v>62</v>
      </c>
    </row>
    <row r="1514" spans="1:3">
      <c r="A1514" t="str">
        <f>"950140"</f>
        <v>950140</v>
      </c>
      <c r="B1514" t="s">
        <v>4</v>
      </c>
      <c r="C1514">
        <v>62</v>
      </c>
    </row>
    <row r="1515" spans="1:3">
      <c r="A1515" t="str">
        <f>"950141"</f>
        <v>950141</v>
      </c>
      <c r="B1515" t="s">
        <v>4</v>
      </c>
      <c r="C1515">
        <v>62</v>
      </c>
    </row>
    <row r="1516" spans="1:3">
      <c r="A1516" t="str">
        <f>"950142"</f>
        <v>950142</v>
      </c>
      <c r="B1516" t="s">
        <v>4</v>
      </c>
      <c r="C1516">
        <v>62</v>
      </c>
    </row>
    <row r="1517" spans="1:3">
      <c r="A1517" t="str">
        <f>"950143"</f>
        <v>950143</v>
      </c>
      <c r="B1517" t="s">
        <v>4</v>
      </c>
      <c r="C1517">
        <v>62</v>
      </c>
    </row>
    <row r="1518" spans="1:3">
      <c r="A1518" t="str">
        <f>"950144"</f>
        <v>950144</v>
      </c>
      <c r="B1518" t="s">
        <v>4</v>
      </c>
      <c r="C1518">
        <v>62</v>
      </c>
    </row>
    <row r="1519" spans="1:3">
      <c r="A1519" t="str">
        <f>"950145"</f>
        <v>950145</v>
      </c>
      <c r="B1519" t="s">
        <v>4</v>
      </c>
      <c r="C1519">
        <v>62</v>
      </c>
    </row>
    <row r="1520" spans="1:3">
      <c r="A1520" t="str">
        <f>"950146"</f>
        <v>950146</v>
      </c>
      <c r="B1520" t="s">
        <v>4</v>
      </c>
      <c r="C1520">
        <v>62</v>
      </c>
    </row>
    <row r="1521" spans="1:3">
      <c r="A1521" t="str">
        <f>"950147"</f>
        <v>950147</v>
      </c>
      <c r="B1521" t="s">
        <v>4</v>
      </c>
      <c r="C1521">
        <v>62</v>
      </c>
    </row>
    <row r="1522" spans="1:3">
      <c r="A1522" t="str">
        <f>"950148"</f>
        <v>950148</v>
      </c>
      <c r="B1522" t="s">
        <v>4</v>
      </c>
      <c r="C1522">
        <v>62</v>
      </c>
    </row>
    <row r="1523" spans="1:3">
      <c r="A1523" t="str">
        <f>"950149"</f>
        <v>950149</v>
      </c>
      <c r="B1523" t="s">
        <v>4</v>
      </c>
      <c r="C1523">
        <v>62</v>
      </c>
    </row>
    <row r="1524" spans="1:3">
      <c r="A1524" t="str">
        <f>"950150"</f>
        <v>950150</v>
      </c>
      <c r="B1524" t="s">
        <v>4</v>
      </c>
      <c r="C1524">
        <v>62</v>
      </c>
    </row>
    <row r="1525" spans="1:3">
      <c r="A1525" t="str">
        <f>"950151"</f>
        <v>950151</v>
      </c>
      <c r="B1525" t="s">
        <v>4</v>
      </c>
      <c r="C1525">
        <v>62</v>
      </c>
    </row>
    <row r="1526" spans="1:3">
      <c r="A1526" t="str">
        <f>"950152"</f>
        <v>950152</v>
      </c>
      <c r="B1526" t="s">
        <v>4</v>
      </c>
      <c r="C1526">
        <v>62</v>
      </c>
    </row>
    <row r="1527" spans="1:3">
      <c r="A1527" t="str">
        <f>"950153"</f>
        <v>950153</v>
      </c>
      <c r="B1527" t="s">
        <v>4</v>
      </c>
      <c r="C1527">
        <v>62</v>
      </c>
    </row>
    <row r="1528" spans="1:3">
      <c r="A1528" t="str">
        <f>"950154"</f>
        <v>950154</v>
      </c>
      <c r="B1528" t="s">
        <v>4</v>
      </c>
      <c r="C1528">
        <v>62</v>
      </c>
    </row>
    <row r="1529" spans="1:3">
      <c r="A1529" t="str">
        <f>"950155"</f>
        <v>950155</v>
      </c>
      <c r="B1529" t="s">
        <v>4</v>
      </c>
      <c r="C1529">
        <v>62</v>
      </c>
    </row>
    <row r="1530" spans="1:3">
      <c r="A1530" t="str">
        <f>"950156"</f>
        <v>950156</v>
      </c>
      <c r="B1530" t="s">
        <v>4</v>
      </c>
      <c r="C1530">
        <v>62</v>
      </c>
    </row>
    <row r="1531" spans="1:3">
      <c r="A1531" t="str">
        <f>"950157"</f>
        <v>950157</v>
      </c>
      <c r="B1531" t="s">
        <v>4</v>
      </c>
      <c r="C1531">
        <v>62</v>
      </c>
    </row>
    <row r="1532" spans="1:3">
      <c r="A1532" t="str">
        <f>"950158"</f>
        <v>950158</v>
      </c>
      <c r="B1532" t="s">
        <v>4</v>
      </c>
      <c r="C1532">
        <v>62</v>
      </c>
    </row>
    <row r="1533" spans="1:3">
      <c r="A1533" t="str">
        <f>"950159"</f>
        <v>950159</v>
      </c>
      <c r="B1533" t="s">
        <v>4</v>
      </c>
      <c r="C1533">
        <v>62</v>
      </c>
    </row>
    <row r="1534" spans="1:3">
      <c r="A1534" t="str">
        <f>"950161"</f>
        <v>950161</v>
      </c>
      <c r="B1534" t="s">
        <v>4</v>
      </c>
      <c r="C1534">
        <v>62</v>
      </c>
    </row>
    <row r="1535" spans="1:3">
      <c r="A1535" t="str">
        <f>"950162"</f>
        <v>950162</v>
      </c>
      <c r="B1535" t="s">
        <v>4</v>
      </c>
      <c r="C1535">
        <v>62</v>
      </c>
    </row>
    <row r="1536" spans="1:3">
      <c r="A1536" t="str">
        <f>"950165"</f>
        <v>950165</v>
      </c>
      <c r="B1536" t="s">
        <v>4</v>
      </c>
      <c r="C1536">
        <v>62</v>
      </c>
    </row>
    <row r="1537" spans="1:3">
      <c r="A1537" t="str">
        <f>"950166"</f>
        <v>950166</v>
      </c>
      <c r="B1537" t="s">
        <v>4</v>
      </c>
      <c r="C1537">
        <v>62</v>
      </c>
    </row>
    <row r="1538" spans="1:3">
      <c r="A1538" t="str">
        <f>"950167"</f>
        <v>950167</v>
      </c>
      <c r="B1538" t="s">
        <v>4</v>
      </c>
      <c r="C1538">
        <v>62</v>
      </c>
    </row>
    <row r="1539" spans="1:3">
      <c r="A1539" t="str">
        <f>"950168"</f>
        <v>950168</v>
      </c>
      <c r="B1539" t="s">
        <v>4</v>
      </c>
      <c r="C1539">
        <v>62</v>
      </c>
    </row>
    <row r="1540" spans="1:3">
      <c r="A1540" t="str">
        <f>"950169"</f>
        <v>950169</v>
      </c>
      <c r="B1540" t="s">
        <v>4</v>
      </c>
      <c r="C1540">
        <v>62</v>
      </c>
    </row>
    <row r="1541" spans="1:3">
      <c r="A1541" t="str">
        <f>"950170"</f>
        <v>950170</v>
      </c>
      <c r="B1541" t="s">
        <v>4</v>
      </c>
      <c r="C1541">
        <v>62</v>
      </c>
    </row>
    <row r="1542" spans="1:3">
      <c r="A1542" t="str">
        <f>"950171"</f>
        <v>950171</v>
      </c>
      <c r="B1542" t="s">
        <v>4</v>
      </c>
      <c r="C1542">
        <v>62</v>
      </c>
    </row>
    <row r="1543" spans="1:3">
      <c r="A1543" t="str">
        <f>"950172"</f>
        <v>950172</v>
      </c>
      <c r="B1543" t="s">
        <v>4</v>
      </c>
      <c r="C1543">
        <v>62</v>
      </c>
    </row>
    <row r="1544" spans="1:3">
      <c r="A1544" t="str">
        <f>"950175"</f>
        <v>950175</v>
      </c>
      <c r="B1544" t="s">
        <v>4</v>
      </c>
      <c r="C1544">
        <v>62</v>
      </c>
    </row>
    <row r="1545" spans="1:3">
      <c r="A1545" t="str">
        <f>"950176"</f>
        <v>950176</v>
      </c>
      <c r="B1545" t="s">
        <v>4</v>
      </c>
      <c r="C1545">
        <v>62</v>
      </c>
    </row>
    <row r="1546" spans="1:3">
      <c r="A1546" t="str">
        <f>"950177"</f>
        <v>950177</v>
      </c>
      <c r="B1546" t="s">
        <v>4</v>
      </c>
      <c r="C1546">
        <v>62</v>
      </c>
    </row>
    <row r="1547" spans="1:3">
      <c r="A1547" t="str">
        <f>"950178"</f>
        <v>950178</v>
      </c>
      <c r="B1547" t="s">
        <v>4</v>
      </c>
      <c r="C1547">
        <v>62</v>
      </c>
    </row>
    <row r="1548" spans="1:3">
      <c r="A1548" t="str">
        <f>"950179"</f>
        <v>950179</v>
      </c>
      <c r="B1548" t="s">
        <v>4</v>
      </c>
      <c r="C1548">
        <v>62</v>
      </c>
    </row>
    <row r="1549" spans="1:3">
      <c r="A1549" t="str">
        <f>"950180"</f>
        <v>950180</v>
      </c>
      <c r="B1549" t="s">
        <v>4</v>
      </c>
      <c r="C1549">
        <v>62</v>
      </c>
    </row>
    <row r="1550" spans="1:3">
      <c r="A1550" t="str">
        <f>"950181"</f>
        <v>950181</v>
      </c>
      <c r="B1550" t="s">
        <v>4</v>
      </c>
      <c r="C1550">
        <v>62</v>
      </c>
    </row>
    <row r="1551" spans="1:3">
      <c r="A1551" t="str">
        <f>"950182"</f>
        <v>950182</v>
      </c>
      <c r="B1551" t="s">
        <v>4</v>
      </c>
      <c r="C1551">
        <v>62</v>
      </c>
    </row>
    <row r="1552" spans="1:3">
      <c r="A1552" t="str">
        <f>"950183"</f>
        <v>950183</v>
      </c>
      <c r="B1552" t="s">
        <v>4</v>
      </c>
      <c r="C1552">
        <v>62</v>
      </c>
    </row>
    <row r="1553" spans="1:3">
      <c r="A1553" t="str">
        <f>"950184"</f>
        <v>950184</v>
      </c>
      <c r="B1553" t="s">
        <v>4</v>
      </c>
      <c r="C1553">
        <v>62</v>
      </c>
    </row>
    <row r="1554" spans="1:3">
      <c r="A1554" t="str">
        <f>"950185"</f>
        <v>950185</v>
      </c>
      <c r="B1554" t="s">
        <v>4</v>
      </c>
      <c r="C1554">
        <v>62</v>
      </c>
    </row>
    <row r="1555" spans="1:3">
      <c r="A1555" t="str">
        <f>"950188"</f>
        <v>950188</v>
      </c>
      <c r="B1555" t="s">
        <v>4</v>
      </c>
      <c r="C1555">
        <v>62</v>
      </c>
    </row>
    <row r="1556" spans="1:3">
      <c r="A1556" t="str">
        <f>"950189"</f>
        <v>950189</v>
      </c>
      <c r="B1556" t="s">
        <v>4</v>
      </c>
      <c r="C1556">
        <v>62</v>
      </c>
    </row>
    <row r="1557" spans="1:3">
      <c r="A1557" t="str">
        <f>"950190"</f>
        <v>950190</v>
      </c>
      <c r="B1557" t="s">
        <v>4</v>
      </c>
      <c r="C1557">
        <v>62</v>
      </c>
    </row>
    <row r="1558" spans="1:3">
      <c r="A1558" t="str">
        <f>"950191"</f>
        <v>950191</v>
      </c>
      <c r="B1558" t="s">
        <v>4</v>
      </c>
      <c r="C1558">
        <v>62</v>
      </c>
    </row>
    <row r="1559" spans="1:3">
      <c r="A1559" t="str">
        <f>"950192"</f>
        <v>950192</v>
      </c>
      <c r="B1559" t="s">
        <v>4</v>
      </c>
      <c r="C1559">
        <v>62</v>
      </c>
    </row>
    <row r="1560" spans="1:3">
      <c r="A1560" t="str">
        <f>"950193"</f>
        <v>950193</v>
      </c>
      <c r="B1560" t="s">
        <v>4</v>
      </c>
      <c r="C1560">
        <v>62</v>
      </c>
    </row>
    <row r="1561" spans="1:3">
      <c r="A1561" t="str">
        <f>"950196"</f>
        <v>950196</v>
      </c>
      <c r="B1561" t="s">
        <v>4</v>
      </c>
      <c r="C1561">
        <v>62</v>
      </c>
    </row>
    <row r="1562" spans="1:3">
      <c r="A1562" t="str">
        <f>"950197"</f>
        <v>950197</v>
      </c>
      <c r="B1562" t="s">
        <v>4</v>
      </c>
      <c r="C1562">
        <v>62</v>
      </c>
    </row>
    <row r="1563" spans="1:3">
      <c r="A1563" t="str">
        <f>"950198"</f>
        <v>950198</v>
      </c>
      <c r="B1563" t="s">
        <v>4</v>
      </c>
      <c r="C1563">
        <v>62</v>
      </c>
    </row>
    <row r="1564" spans="1:3">
      <c r="A1564" t="str">
        <f>"950199"</f>
        <v>950199</v>
      </c>
      <c r="B1564" t="s">
        <v>4</v>
      </c>
      <c r="C1564">
        <v>62</v>
      </c>
    </row>
    <row r="1565" spans="1:3">
      <c r="A1565" t="str">
        <f>"950200"</f>
        <v>950200</v>
      </c>
      <c r="B1565" t="s">
        <v>4</v>
      </c>
      <c r="C1565">
        <v>62</v>
      </c>
    </row>
    <row r="1566" spans="1:3">
      <c r="A1566" t="str">
        <f>"950201"</f>
        <v>950201</v>
      </c>
      <c r="B1566" t="s">
        <v>4</v>
      </c>
      <c r="C1566">
        <v>62</v>
      </c>
    </row>
    <row r="1567" spans="1:3">
      <c r="A1567" t="str">
        <f>"950202"</f>
        <v>950202</v>
      </c>
      <c r="B1567" t="s">
        <v>4</v>
      </c>
      <c r="C1567">
        <v>62</v>
      </c>
    </row>
    <row r="1568" spans="1:3">
      <c r="A1568" t="str">
        <f>"950203"</f>
        <v>950203</v>
      </c>
      <c r="B1568" t="s">
        <v>4</v>
      </c>
      <c r="C1568">
        <v>62</v>
      </c>
    </row>
    <row r="1569" spans="1:3">
      <c r="A1569" t="str">
        <f>"950204"</f>
        <v>950204</v>
      </c>
      <c r="B1569" t="s">
        <v>4</v>
      </c>
      <c r="C1569">
        <v>62</v>
      </c>
    </row>
    <row r="1570" spans="1:3">
      <c r="A1570" t="str">
        <f>"950205"</f>
        <v>950205</v>
      </c>
      <c r="B1570" t="s">
        <v>4</v>
      </c>
      <c r="C1570">
        <v>62</v>
      </c>
    </row>
    <row r="1571" spans="1:3">
      <c r="A1571" t="str">
        <f>"950206"</f>
        <v>950206</v>
      </c>
      <c r="B1571" t="s">
        <v>4</v>
      </c>
      <c r="C1571">
        <v>62</v>
      </c>
    </row>
    <row r="1572" spans="1:3">
      <c r="A1572" t="str">
        <f>"950207"</f>
        <v>950207</v>
      </c>
      <c r="B1572" t="s">
        <v>4</v>
      </c>
      <c r="C1572">
        <v>62</v>
      </c>
    </row>
    <row r="1573" spans="1:3">
      <c r="A1573" t="str">
        <f>"950208"</f>
        <v>950208</v>
      </c>
      <c r="B1573" t="s">
        <v>4</v>
      </c>
      <c r="C1573">
        <v>62</v>
      </c>
    </row>
    <row r="1574" spans="1:3">
      <c r="A1574" t="str">
        <f>"950209"</f>
        <v>950209</v>
      </c>
      <c r="B1574" t="s">
        <v>4</v>
      </c>
      <c r="C1574">
        <v>62</v>
      </c>
    </row>
    <row r="1575" spans="1:3">
      <c r="A1575" t="str">
        <f>"950210"</f>
        <v>950210</v>
      </c>
      <c r="B1575" t="s">
        <v>4</v>
      </c>
      <c r="C1575">
        <v>62</v>
      </c>
    </row>
    <row r="1576" spans="1:3">
      <c r="A1576" t="str">
        <f>"950211"</f>
        <v>950211</v>
      </c>
      <c r="B1576" t="s">
        <v>4</v>
      </c>
      <c r="C1576">
        <v>62</v>
      </c>
    </row>
    <row r="1577" spans="1:3">
      <c r="A1577" t="str">
        <f>"950212"</f>
        <v>950212</v>
      </c>
      <c r="B1577" t="s">
        <v>4</v>
      </c>
      <c r="C1577">
        <v>62</v>
      </c>
    </row>
    <row r="1578" spans="1:3">
      <c r="A1578" t="str">
        <f>"950213"</f>
        <v>950213</v>
      </c>
      <c r="B1578" t="s">
        <v>4</v>
      </c>
      <c r="C1578">
        <v>62</v>
      </c>
    </row>
    <row r="1579" spans="1:3">
      <c r="A1579" t="str">
        <f>"950214"</f>
        <v>950214</v>
      </c>
      <c r="B1579" t="s">
        <v>4</v>
      </c>
      <c r="C1579">
        <v>62</v>
      </c>
    </row>
    <row r="1580" spans="1:3">
      <c r="A1580" t="str">
        <f>"950215"</f>
        <v>950215</v>
      </c>
      <c r="B1580" t="s">
        <v>4</v>
      </c>
      <c r="C1580">
        <v>62</v>
      </c>
    </row>
    <row r="1581" spans="1:3">
      <c r="A1581" t="str">
        <f>"950216"</f>
        <v>950216</v>
      </c>
      <c r="B1581" t="s">
        <v>4</v>
      </c>
      <c r="C1581">
        <v>62</v>
      </c>
    </row>
    <row r="1582" spans="1:3">
      <c r="A1582" t="str">
        <f>"950217"</f>
        <v>950217</v>
      </c>
      <c r="B1582" t="s">
        <v>4</v>
      </c>
      <c r="C1582">
        <v>62</v>
      </c>
    </row>
    <row r="1583" spans="1:3">
      <c r="A1583" t="str">
        <f>"950218"</f>
        <v>950218</v>
      </c>
      <c r="B1583" t="s">
        <v>4</v>
      </c>
      <c r="C1583">
        <v>62</v>
      </c>
    </row>
    <row r="1584" spans="1:3">
      <c r="A1584" t="str">
        <f>"950219"</f>
        <v>950219</v>
      </c>
      <c r="B1584" t="s">
        <v>4</v>
      </c>
      <c r="C1584">
        <v>62</v>
      </c>
    </row>
    <row r="1585" spans="1:3">
      <c r="A1585" t="str">
        <f>"950219CNY01"</f>
        <v>950219CNY01</v>
      </c>
      <c r="B1585" t="s">
        <v>4</v>
      </c>
      <c r="C1585">
        <v>62</v>
      </c>
    </row>
    <row r="1586" spans="1:3">
      <c r="A1586" t="str">
        <f>"950222"</f>
        <v>950222</v>
      </c>
      <c r="B1586" t="s">
        <v>4</v>
      </c>
      <c r="C1586">
        <v>62</v>
      </c>
    </row>
    <row r="1587" spans="1:3">
      <c r="A1587" t="str">
        <f>"950228"</f>
        <v>950228</v>
      </c>
      <c r="B1587" t="s">
        <v>4</v>
      </c>
      <c r="C1587">
        <v>62</v>
      </c>
    </row>
    <row r="1588" spans="1:3">
      <c r="A1588" t="str">
        <f>"950229"</f>
        <v>950229</v>
      </c>
      <c r="B1588" t="s">
        <v>4</v>
      </c>
      <c r="C1588">
        <v>62</v>
      </c>
    </row>
    <row r="1589" spans="1:3">
      <c r="A1589" t="str">
        <f>"950230"</f>
        <v>950230</v>
      </c>
      <c r="B1589" t="s">
        <v>4</v>
      </c>
      <c r="C1589">
        <v>62</v>
      </c>
    </row>
    <row r="1590" spans="1:3">
      <c r="A1590" t="str">
        <f>"950231"</f>
        <v>950231</v>
      </c>
      <c r="B1590" t="s">
        <v>4</v>
      </c>
      <c r="C1590">
        <v>62</v>
      </c>
    </row>
    <row r="1591" spans="1:3">
      <c r="A1591" t="str">
        <f>"950232"</f>
        <v>950232</v>
      </c>
      <c r="B1591" t="s">
        <v>4</v>
      </c>
      <c r="C1591">
        <v>62</v>
      </c>
    </row>
    <row r="1592" spans="1:3">
      <c r="A1592" t="str">
        <f>"950233"</f>
        <v>950233</v>
      </c>
      <c r="B1592" t="s">
        <v>4</v>
      </c>
      <c r="C1592">
        <v>62</v>
      </c>
    </row>
    <row r="1593" spans="1:3">
      <c r="A1593" t="str">
        <f>"950234"</f>
        <v>950234</v>
      </c>
      <c r="B1593" t="s">
        <v>4</v>
      </c>
      <c r="C1593">
        <v>62</v>
      </c>
    </row>
    <row r="1594" spans="1:3">
      <c r="A1594" t="str">
        <f>"950235"</f>
        <v>950235</v>
      </c>
      <c r="B1594" t="s">
        <v>4</v>
      </c>
      <c r="C1594">
        <v>62</v>
      </c>
    </row>
    <row r="1595" spans="1:3">
      <c r="A1595" t="str">
        <f>"950236"</f>
        <v>950236</v>
      </c>
      <c r="B1595" t="s">
        <v>4</v>
      </c>
      <c r="C1595">
        <v>62</v>
      </c>
    </row>
    <row r="1596" spans="1:3">
      <c r="A1596" t="str">
        <f>"950237"</f>
        <v>950237</v>
      </c>
      <c r="B1596" t="s">
        <v>4</v>
      </c>
      <c r="C1596">
        <v>62</v>
      </c>
    </row>
    <row r="1597" spans="1:3">
      <c r="A1597" t="str">
        <f>"950240"</f>
        <v>950240</v>
      </c>
      <c r="B1597" t="s">
        <v>4</v>
      </c>
      <c r="C1597">
        <v>62</v>
      </c>
    </row>
    <row r="1598" spans="1:3">
      <c r="A1598" t="str">
        <f>"950241"</f>
        <v>950241</v>
      </c>
      <c r="B1598" t="s">
        <v>4</v>
      </c>
      <c r="C1598">
        <v>62</v>
      </c>
    </row>
    <row r="1599" spans="1:3">
      <c r="A1599" t="str">
        <f>"950242"</f>
        <v>950242</v>
      </c>
      <c r="B1599" t="s">
        <v>4</v>
      </c>
      <c r="C1599">
        <v>62</v>
      </c>
    </row>
    <row r="1600" spans="1:3">
      <c r="A1600" t="str">
        <f>"950243"</f>
        <v>950243</v>
      </c>
      <c r="B1600" t="s">
        <v>4</v>
      </c>
      <c r="C1600">
        <v>62</v>
      </c>
    </row>
    <row r="1601" spans="1:3">
      <c r="A1601" t="str">
        <f>"950245"</f>
        <v>950245</v>
      </c>
      <c r="B1601" t="s">
        <v>4</v>
      </c>
      <c r="C1601">
        <v>62</v>
      </c>
    </row>
    <row r="1602" spans="1:3">
      <c r="A1602" t="str">
        <f>"950246"</f>
        <v>950246</v>
      </c>
      <c r="B1602" t="s">
        <v>4</v>
      </c>
      <c r="C1602">
        <v>62</v>
      </c>
    </row>
    <row r="1603" spans="1:3">
      <c r="A1603" t="str">
        <f>"950247"</f>
        <v>950247</v>
      </c>
      <c r="B1603" t="s">
        <v>4</v>
      </c>
      <c r="C1603">
        <v>62</v>
      </c>
    </row>
    <row r="1604" spans="1:3">
      <c r="A1604" t="str">
        <f>"950248"</f>
        <v>950248</v>
      </c>
      <c r="B1604" t="s">
        <v>4</v>
      </c>
      <c r="C1604">
        <v>62</v>
      </c>
    </row>
    <row r="1605" spans="1:3">
      <c r="A1605" t="str">
        <f>"950249"</f>
        <v>950249</v>
      </c>
      <c r="B1605" t="s">
        <v>4</v>
      </c>
      <c r="C1605">
        <v>62</v>
      </c>
    </row>
    <row r="1606" spans="1:3">
      <c r="A1606" t="str">
        <f>"950250"</f>
        <v>950250</v>
      </c>
      <c r="B1606" t="s">
        <v>4</v>
      </c>
      <c r="C1606">
        <v>62</v>
      </c>
    </row>
    <row r="1607" spans="1:3">
      <c r="A1607" t="str">
        <f>"950251"</f>
        <v>950251</v>
      </c>
      <c r="B1607" t="s">
        <v>4</v>
      </c>
      <c r="C1607">
        <v>62</v>
      </c>
    </row>
    <row r="1608" spans="1:3">
      <c r="A1608" t="str">
        <f>"950252"</f>
        <v>950252</v>
      </c>
      <c r="B1608" t="s">
        <v>4</v>
      </c>
      <c r="C1608">
        <v>62</v>
      </c>
    </row>
    <row r="1609" spans="1:3">
      <c r="A1609" t="str">
        <f>"950253"</f>
        <v>950253</v>
      </c>
      <c r="B1609" t="s">
        <v>4</v>
      </c>
      <c r="C1609">
        <v>62</v>
      </c>
    </row>
    <row r="1610" spans="1:3">
      <c r="A1610" t="str">
        <f>"950255"</f>
        <v>950255</v>
      </c>
      <c r="B1610" t="s">
        <v>4</v>
      </c>
      <c r="C1610">
        <v>62</v>
      </c>
    </row>
    <row r="1611" spans="1:3">
      <c r="A1611" t="str">
        <f>"950257"</f>
        <v>950257</v>
      </c>
      <c r="B1611" t="s">
        <v>4</v>
      </c>
      <c r="C1611">
        <v>62</v>
      </c>
    </row>
    <row r="1612" spans="1:3">
      <c r="A1612" t="str">
        <f>"950258"</f>
        <v>950258</v>
      </c>
      <c r="B1612" t="s">
        <v>4</v>
      </c>
      <c r="C1612">
        <v>62</v>
      </c>
    </row>
    <row r="1613" spans="1:3">
      <c r="A1613" t="str">
        <f>"950259"</f>
        <v>950259</v>
      </c>
      <c r="B1613" t="s">
        <v>4</v>
      </c>
      <c r="C1613">
        <v>62</v>
      </c>
    </row>
    <row r="1614" spans="1:3">
      <c r="A1614" t="str">
        <f>"950260"</f>
        <v>950260</v>
      </c>
      <c r="B1614" t="s">
        <v>4</v>
      </c>
      <c r="C1614">
        <v>62</v>
      </c>
    </row>
    <row r="1615" spans="1:3">
      <c r="A1615" t="str">
        <f>"950265"</f>
        <v>950265</v>
      </c>
      <c r="B1615" t="s">
        <v>4</v>
      </c>
      <c r="C1615">
        <v>62</v>
      </c>
    </row>
    <row r="1616" spans="1:3">
      <c r="A1616" t="str">
        <f>"950266"</f>
        <v>950266</v>
      </c>
      <c r="B1616" t="s">
        <v>4</v>
      </c>
      <c r="C1616">
        <v>62</v>
      </c>
    </row>
    <row r="1617" spans="1:3">
      <c r="A1617" t="str">
        <f>"950267"</f>
        <v>950267</v>
      </c>
      <c r="B1617" t="s">
        <v>4</v>
      </c>
      <c r="C1617">
        <v>62</v>
      </c>
    </row>
    <row r="1618" spans="1:3">
      <c r="A1618" t="str">
        <f>"950268"</f>
        <v>950268</v>
      </c>
      <c r="B1618" t="s">
        <v>4</v>
      </c>
      <c r="C1618">
        <v>62</v>
      </c>
    </row>
    <row r="1619" spans="1:3">
      <c r="A1619" t="str">
        <f>"950269"</f>
        <v>950269</v>
      </c>
      <c r="B1619" t="s">
        <v>4</v>
      </c>
      <c r="C1619">
        <v>62</v>
      </c>
    </row>
    <row r="1620" spans="1:3">
      <c r="A1620" t="str">
        <f>"950270"</f>
        <v>950270</v>
      </c>
      <c r="B1620" t="s">
        <v>4</v>
      </c>
      <c r="C1620">
        <v>62</v>
      </c>
    </row>
    <row r="1621" spans="1:3">
      <c r="A1621" t="str">
        <f>"950271"</f>
        <v>950271</v>
      </c>
      <c r="B1621" t="s">
        <v>4</v>
      </c>
      <c r="C1621">
        <v>62</v>
      </c>
    </row>
    <row r="1622" spans="1:3">
      <c r="A1622" t="str">
        <f>"950272"</f>
        <v>950272</v>
      </c>
      <c r="B1622" t="s">
        <v>4</v>
      </c>
      <c r="C1622">
        <v>62</v>
      </c>
    </row>
    <row r="1623" spans="1:3">
      <c r="A1623" t="str">
        <f>"950273"</f>
        <v>950273</v>
      </c>
      <c r="B1623" t="s">
        <v>4</v>
      </c>
      <c r="C1623">
        <v>62</v>
      </c>
    </row>
    <row r="1624" spans="1:3">
      <c r="A1624" t="str">
        <f>"950275"</f>
        <v>950275</v>
      </c>
      <c r="B1624" t="s">
        <v>4</v>
      </c>
      <c r="C1624">
        <v>62</v>
      </c>
    </row>
    <row r="1625" spans="1:3">
      <c r="A1625" t="str">
        <f>"950276"</f>
        <v>950276</v>
      </c>
      <c r="B1625" t="s">
        <v>4</v>
      </c>
      <c r="C1625">
        <v>62</v>
      </c>
    </row>
    <row r="1626" spans="1:3">
      <c r="A1626" t="str">
        <f>"950277"</f>
        <v>950277</v>
      </c>
      <c r="B1626" t="s">
        <v>4</v>
      </c>
      <c r="C1626">
        <v>62</v>
      </c>
    </row>
    <row r="1627" spans="1:3">
      <c r="A1627" t="str">
        <f>"950278"</f>
        <v>950278</v>
      </c>
      <c r="B1627" t="s">
        <v>4</v>
      </c>
      <c r="C1627">
        <v>62</v>
      </c>
    </row>
    <row r="1628" spans="1:3">
      <c r="A1628" t="str">
        <f>"950279"</f>
        <v>950279</v>
      </c>
      <c r="B1628" t="s">
        <v>4</v>
      </c>
      <c r="C1628">
        <v>62</v>
      </c>
    </row>
    <row r="1629" spans="1:3">
      <c r="A1629" t="str">
        <f>"950280"</f>
        <v>950280</v>
      </c>
      <c r="B1629" t="s">
        <v>4</v>
      </c>
      <c r="C1629">
        <v>62</v>
      </c>
    </row>
    <row r="1630" spans="1:3">
      <c r="A1630" t="str">
        <f>"950281"</f>
        <v>950281</v>
      </c>
      <c r="B1630" t="s">
        <v>4</v>
      </c>
      <c r="C1630">
        <v>62</v>
      </c>
    </row>
    <row r="1631" spans="1:3">
      <c r="A1631" t="str">
        <f>"950282"</f>
        <v>950282</v>
      </c>
      <c r="B1631" t="s">
        <v>4</v>
      </c>
      <c r="C1631">
        <v>62</v>
      </c>
    </row>
    <row r="1632" spans="1:3">
      <c r="A1632" t="str">
        <f>"950283"</f>
        <v>950283</v>
      </c>
      <c r="B1632" t="s">
        <v>4</v>
      </c>
      <c r="C1632">
        <v>62</v>
      </c>
    </row>
    <row r="1633" spans="1:3">
      <c r="A1633" t="str">
        <f>"950285"</f>
        <v>950285</v>
      </c>
      <c r="B1633" t="s">
        <v>4</v>
      </c>
      <c r="C1633">
        <v>62</v>
      </c>
    </row>
    <row r="1634" spans="1:3">
      <c r="A1634" t="str">
        <f>"950286"</f>
        <v>950286</v>
      </c>
      <c r="B1634" t="s">
        <v>4</v>
      </c>
      <c r="C1634">
        <v>62</v>
      </c>
    </row>
    <row r="1635" spans="1:3">
      <c r="A1635" t="str">
        <f>"950287"</f>
        <v>950287</v>
      </c>
      <c r="B1635" t="s">
        <v>4</v>
      </c>
      <c r="C1635">
        <v>62</v>
      </c>
    </row>
    <row r="1636" spans="1:3">
      <c r="A1636" t="str">
        <f>"950288"</f>
        <v>950288</v>
      </c>
      <c r="B1636" t="s">
        <v>4</v>
      </c>
      <c r="C1636">
        <v>62</v>
      </c>
    </row>
    <row r="1637" spans="1:3">
      <c r="A1637" t="str">
        <f>"950289"</f>
        <v>950289</v>
      </c>
      <c r="B1637" t="s">
        <v>4</v>
      </c>
      <c r="C1637">
        <v>62</v>
      </c>
    </row>
    <row r="1638" spans="1:3">
      <c r="A1638" t="str">
        <f>"950290"</f>
        <v>950290</v>
      </c>
      <c r="B1638" t="s">
        <v>4</v>
      </c>
      <c r="C1638">
        <v>62</v>
      </c>
    </row>
    <row r="1639" spans="1:3">
      <c r="A1639" t="str">
        <f>"950291"</f>
        <v>950291</v>
      </c>
      <c r="B1639" t="s">
        <v>4</v>
      </c>
      <c r="C1639">
        <v>62</v>
      </c>
    </row>
    <row r="1640" spans="1:3">
      <c r="A1640" t="str">
        <f>"950292"</f>
        <v>950292</v>
      </c>
      <c r="B1640" t="s">
        <v>4</v>
      </c>
      <c r="C1640">
        <v>62</v>
      </c>
    </row>
    <row r="1641" spans="1:3">
      <c r="A1641" t="str">
        <f>"950293"</f>
        <v>950293</v>
      </c>
      <c r="B1641" t="s">
        <v>4</v>
      </c>
      <c r="C1641">
        <v>62</v>
      </c>
    </row>
    <row r="1642" spans="1:3">
      <c r="A1642" t="str">
        <f>"950295"</f>
        <v>950295</v>
      </c>
      <c r="B1642" t="s">
        <v>4</v>
      </c>
      <c r="C1642">
        <v>62</v>
      </c>
    </row>
    <row r="1643" spans="1:3">
      <c r="A1643" t="str">
        <f>"950296"</f>
        <v>950296</v>
      </c>
      <c r="B1643" t="s">
        <v>4</v>
      </c>
      <c r="C1643">
        <v>62</v>
      </c>
    </row>
    <row r="1644" spans="1:3">
      <c r="A1644" t="str">
        <f>"950297"</f>
        <v>950297</v>
      </c>
      <c r="B1644" t="s">
        <v>4</v>
      </c>
      <c r="C1644">
        <v>62</v>
      </c>
    </row>
    <row r="1645" spans="1:3">
      <c r="A1645" t="str">
        <f>"950298"</f>
        <v>950298</v>
      </c>
      <c r="B1645" t="s">
        <v>4</v>
      </c>
      <c r="C1645">
        <v>62</v>
      </c>
    </row>
    <row r="1646" spans="1:3">
      <c r="A1646" t="str">
        <f>"950299"</f>
        <v>950299</v>
      </c>
      <c r="B1646" t="s">
        <v>4</v>
      </c>
      <c r="C1646">
        <v>62</v>
      </c>
    </row>
    <row r="1647" spans="1:3">
      <c r="A1647" t="str">
        <f>"950300"</f>
        <v>950300</v>
      </c>
      <c r="B1647" t="s">
        <v>4</v>
      </c>
      <c r="C1647">
        <v>62</v>
      </c>
    </row>
    <row r="1648" spans="1:3">
      <c r="A1648" t="str">
        <f>"950301"</f>
        <v>950301</v>
      </c>
      <c r="B1648" t="s">
        <v>4</v>
      </c>
      <c r="C1648">
        <v>62</v>
      </c>
    </row>
    <row r="1649" spans="1:3">
      <c r="A1649" t="str">
        <f>"950302"</f>
        <v>950302</v>
      </c>
      <c r="B1649" t="s">
        <v>4</v>
      </c>
      <c r="C1649">
        <v>62</v>
      </c>
    </row>
    <row r="1650" spans="1:3">
      <c r="A1650" t="str">
        <f>"950305"</f>
        <v>950305</v>
      </c>
      <c r="B1650" t="s">
        <v>4</v>
      </c>
      <c r="C1650">
        <v>62</v>
      </c>
    </row>
    <row r="1651" spans="1:3">
      <c r="A1651" t="str">
        <f>"950306"</f>
        <v>950306</v>
      </c>
      <c r="B1651" t="s">
        <v>4</v>
      </c>
      <c r="C1651">
        <v>62</v>
      </c>
    </row>
    <row r="1652" spans="1:3">
      <c r="A1652" t="str">
        <f>"950307"</f>
        <v>950307</v>
      </c>
      <c r="B1652" t="s">
        <v>4</v>
      </c>
      <c r="C1652">
        <v>62</v>
      </c>
    </row>
    <row r="1653" spans="1:3">
      <c r="A1653" t="str">
        <f>"950308"</f>
        <v>950308</v>
      </c>
      <c r="B1653" t="s">
        <v>4</v>
      </c>
      <c r="C1653">
        <v>62</v>
      </c>
    </row>
    <row r="1654" spans="1:3">
      <c r="A1654" t="str">
        <f>"950309"</f>
        <v>950309</v>
      </c>
      <c r="B1654" t="s">
        <v>4</v>
      </c>
      <c r="C1654">
        <v>62</v>
      </c>
    </row>
    <row r="1655" spans="1:3">
      <c r="A1655" t="str">
        <f>"950310"</f>
        <v>950310</v>
      </c>
      <c r="B1655" t="s">
        <v>4</v>
      </c>
      <c r="C1655">
        <v>62</v>
      </c>
    </row>
    <row r="1656" spans="1:3">
      <c r="A1656" t="str">
        <f>"950311"</f>
        <v>950311</v>
      </c>
      <c r="B1656" t="s">
        <v>4</v>
      </c>
      <c r="C1656">
        <v>62</v>
      </c>
    </row>
    <row r="1657" spans="1:3">
      <c r="A1657" t="str">
        <f>"950312"</f>
        <v>950312</v>
      </c>
      <c r="B1657" t="s">
        <v>4</v>
      </c>
      <c r="C1657">
        <v>62</v>
      </c>
    </row>
    <row r="1658" spans="1:3">
      <c r="A1658" t="str">
        <f>"950313"</f>
        <v>950313</v>
      </c>
      <c r="B1658" t="s">
        <v>4</v>
      </c>
      <c r="C1658">
        <v>62</v>
      </c>
    </row>
    <row r="1659" spans="1:3">
      <c r="A1659" t="str">
        <f>"950315"</f>
        <v>950315</v>
      </c>
      <c r="B1659" t="s">
        <v>4</v>
      </c>
      <c r="C1659">
        <v>62</v>
      </c>
    </row>
    <row r="1660" spans="1:3">
      <c r="A1660" t="str">
        <f>"950316"</f>
        <v>950316</v>
      </c>
      <c r="B1660" t="s">
        <v>4</v>
      </c>
      <c r="C1660">
        <v>62</v>
      </c>
    </row>
    <row r="1661" spans="1:3">
      <c r="A1661" t="str">
        <f>"950317"</f>
        <v>950317</v>
      </c>
      <c r="B1661" t="s">
        <v>4</v>
      </c>
      <c r="C1661">
        <v>62</v>
      </c>
    </row>
    <row r="1662" spans="1:3">
      <c r="A1662" t="str">
        <f>"950318"</f>
        <v>950318</v>
      </c>
      <c r="B1662" t="s">
        <v>4</v>
      </c>
      <c r="C1662">
        <v>62</v>
      </c>
    </row>
    <row r="1663" spans="1:3">
      <c r="A1663" t="str">
        <f>"950319"</f>
        <v>950319</v>
      </c>
      <c r="B1663" t="s">
        <v>4</v>
      </c>
      <c r="C1663">
        <v>62</v>
      </c>
    </row>
    <row r="1664" spans="1:3">
      <c r="A1664" t="str">
        <f>"950320"</f>
        <v>950320</v>
      </c>
      <c r="B1664" t="s">
        <v>4</v>
      </c>
      <c r="C1664">
        <v>62</v>
      </c>
    </row>
    <row r="1665" spans="1:3">
      <c r="A1665" t="str">
        <f>"950321"</f>
        <v>950321</v>
      </c>
      <c r="B1665" t="s">
        <v>4</v>
      </c>
      <c r="C1665">
        <v>62</v>
      </c>
    </row>
    <row r="1666" spans="1:3">
      <c r="A1666" t="str">
        <f>"950322"</f>
        <v>950322</v>
      </c>
      <c r="B1666" t="s">
        <v>4</v>
      </c>
      <c r="C1666">
        <v>62</v>
      </c>
    </row>
    <row r="1667" spans="1:3">
      <c r="A1667" t="str">
        <f>"950323"</f>
        <v>950323</v>
      </c>
      <c r="B1667" t="s">
        <v>4</v>
      </c>
      <c r="C1667">
        <v>62</v>
      </c>
    </row>
    <row r="1668" spans="1:3">
      <c r="A1668" t="str">
        <f>"950325"</f>
        <v>950325</v>
      </c>
      <c r="B1668" t="s">
        <v>4</v>
      </c>
      <c r="C1668">
        <v>62</v>
      </c>
    </row>
    <row r="1669" spans="1:3">
      <c r="A1669" t="str">
        <f>"950326"</f>
        <v>950326</v>
      </c>
      <c r="B1669" t="s">
        <v>4</v>
      </c>
      <c r="C1669">
        <v>62</v>
      </c>
    </row>
    <row r="1670" spans="1:3">
      <c r="A1670" t="str">
        <f>"950327"</f>
        <v>950327</v>
      </c>
      <c r="B1670" t="s">
        <v>4</v>
      </c>
      <c r="C1670">
        <v>62</v>
      </c>
    </row>
    <row r="1671" spans="1:3">
      <c r="A1671" t="str">
        <f>"950328"</f>
        <v>950328</v>
      </c>
      <c r="B1671" t="s">
        <v>4</v>
      </c>
      <c r="C1671">
        <v>62</v>
      </c>
    </row>
    <row r="1672" spans="1:3">
      <c r="A1672" t="str">
        <f>"950329"</f>
        <v>950329</v>
      </c>
      <c r="B1672" t="s">
        <v>4</v>
      </c>
      <c r="C1672">
        <v>62</v>
      </c>
    </row>
    <row r="1673" spans="1:3">
      <c r="A1673" t="str">
        <f>"950330"</f>
        <v>950330</v>
      </c>
      <c r="B1673" t="s">
        <v>4</v>
      </c>
      <c r="C1673">
        <v>62</v>
      </c>
    </row>
    <row r="1674" spans="1:3">
      <c r="A1674" t="str">
        <f>"950331"</f>
        <v>950331</v>
      </c>
      <c r="B1674" t="s">
        <v>4</v>
      </c>
      <c r="C1674">
        <v>62</v>
      </c>
    </row>
    <row r="1675" spans="1:3">
      <c r="A1675" t="str">
        <f>"950332"</f>
        <v>950332</v>
      </c>
      <c r="B1675" t="s">
        <v>4</v>
      </c>
      <c r="C1675">
        <v>62</v>
      </c>
    </row>
    <row r="1676" spans="1:3">
      <c r="A1676" t="str">
        <f>"950333"</f>
        <v>950333</v>
      </c>
      <c r="B1676" t="s">
        <v>4</v>
      </c>
      <c r="C1676">
        <v>62</v>
      </c>
    </row>
    <row r="1677" spans="1:3">
      <c r="A1677" t="str">
        <f>"950335"</f>
        <v>950335</v>
      </c>
      <c r="B1677" t="s">
        <v>4</v>
      </c>
      <c r="C1677">
        <v>62</v>
      </c>
    </row>
    <row r="1678" spans="1:3">
      <c r="A1678" t="str">
        <f>"950336"</f>
        <v>950336</v>
      </c>
      <c r="B1678" t="s">
        <v>4</v>
      </c>
      <c r="C1678">
        <v>62</v>
      </c>
    </row>
    <row r="1679" spans="1:3">
      <c r="A1679" t="str">
        <f>"950337"</f>
        <v>950337</v>
      </c>
      <c r="B1679" t="s">
        <v>4</v>
      </c>
      <c r="C1679">
        <v>62</v>
      </c>
    </row>
    <row r="1680" spans="1:3">
      <c r="A1680" t="str">
        <f>"950338"</f>
        <v>950338</v>
      </c>
      <c r="B1680" t="s">
        <v>4</v>
      </c>
      <c r="C1680">
        <v>62</v>
      </c>
    </row>
    <row r="1681" spans="1:3">
      <c r="A1681" t="str">
        <f>"950339"</f>
        <v>950339</v>
      </c>
      <c r="B1681" t="s">
        <v>4</v>
      </c>
      <c r="C1681">
        <v>62</v>
      </c>
    </row>
    <row r="1682" spans="1:3">
      <c r="A1682" t="str">
        <f>"950340"</f>
        <v>950340</v>
      </c>
      <c r="B1682" t="s">
        <v>4</v>
      </c>
      <c r="C1682">
        <v>62</v>
      </c>
    </row>
    <row r="1683" spans="1:3">
      <c r="A1683" t="str">
        <f>"950341"</f>
        <v>950341</v>
      </c>
      <c r="B1683" t="s">
        <v>4</v>
      </c>
      <c r="C1683">
        <v>62</v>
      </c>
    </row>
    <row r="1684" spans="1:3">
      <c r="A1684" t="str">
        <f>"950342"</f>
        <v>950342</v>
      </c>
      <c r="B1684" t="s">
        <v>4</v>
      </c>
      <c r="C1684">
        <v>62</v>
      </c>
    </row>
    <row r="1685" spans="1:3">
      <c r="A1685" t="str">
        <f>"950343"</f>
        <v>950343</v>
      </c>
      <c r="B1685" t="s">
        <v>4</v>
      </c>
      <c r="C1685">
        <v>62</v>
      </c>
    </row>
    <row r="1686" spans="1:3">
      <c r="A1686" t="str">
        <f>"950357"</f>
        <v>950357</v>
      </c>
      <c r="B1686" t="s">
        <v>4</v>
      </c>
      <c r="C1686">
        <v>62</v>
      </c>
    </row>
    <row r="1687" spans="1:3">
      <c r="A1687" t="str">
        <f>"950358"</f>
        <v>950358</v>
      </c>
      <c r="B1687" t="s">
        <v>4</v>
      </c>
      <c r="C1687">
        <v>62</v>
      </c>
    </row>
    <row r="1688" spans="1:3">
      <c r="A1688" t="str">
        <f>"950359"</f>
        <v>950359</v>
      </c>
      <c r="B1688" t="s">
        <v>4</v>
      </c>
      <c r="C1688">
        <v>62</v>
      </c>
    </row>
    <row r="1689" spans="1:3">
      <c r="A1689" t="str">
        <f>"950360"</f>
        <v>950360</v>
      </c>
      <c r="B1689" t="s">
        <v>4</v>
      </c>
      <c r="C1689">
        <v>62</v>
      </c>
    </row>
    <row r="1690" spans="1:3">
      <c r="A1690" t="str">
        <f>"950363"</f>
        <v>950363</v>
      </c>
      <c r="B1690" t="s">
        <v>4</v>
      </c>
      <c r="C1690">
        <v>62</v>
      </c>
    </row>
    <row r="1691" spans="1:3">
      <c r="A1691" t="str">
        <f>"950365"</f>
        <v>950365</v>
      </c>
      <c r="B1691" t="s">
        <v>4</v>
      </c>
      <c r="C1691">
        <v>62</v>
      </c>
    </row>
    <row r="1692" spans="1:3">
      <c r="A1692" t="str">
        <f>"950366"</f>
        <v>950366</v>
      </c>
      <c r="B1692" t="s">
        <v>4</v>
      </c>
      <c r="C1692">
        <v>62</v>
      </c>
    </row>
    <row r="1693" spans="1:3">
      <c r="A1693" t="str">
        <f>"950367"</f>
        <v>950367</v>
      </c>
      <c r="B1693" t="s">
        <v>4</v>
      </c>
      <c r="C1693">
        <v>62</v>
      </c>
    </row>
    <row r="1694" spans="1:3">
      <c r="A1694" t="str">
        <f>"950580"</f>
        <v>950580</v>
      </c>
      <c r="B1694" t="s">
        <v>4</v>
      </c>
      <c r="C1694">
        <v>62</v>
      </c>
    </row>
    <row r="1695" spans="1:3">
      <c r="A1695" t="str">
        <f>"990001"</f>
        <v>990001</v>
      </c>
      <c r="B1695" t="s">
        <v>4</v>
      </c>
      <c r="C1695">
        <v>62</v>
      </c>
    </row>
    <row r="1696" spans="1:3">
      <c r="A1696" t="str">
        <f>"CES013"</f>
        <v>CES013</v>
      </c>
      <c r="B1696" t="s">
        <v>4</v>
      </c>
      <c r="C1696">
        <v>62</v>
      </c>
    </row>
    <row r="1697" spans="1:3">
      <c r="A1697" t="str">
        <f>"CES100"</f>
        <v>CES100</v>
      </c>
      <c r="B1697" t="s">
        <v>4</v>
      </c>
      <c r="C1697">
        <v>62</v>
      </c>
    </row>
    <row r="1698" spans="1:3">
      <c r="A1698" t="str">
        <f>"CES113"</f>
        <v>CES113</v>
      </c>
      <c r="B1698" t="s">
        <v>4</v>
      </c>
      <c r="C1698">
        <v>62</v>
      </c>
    </row>
    <row r="1699" spans="1:3">
      <c r="A1699" t="str">
        <f>"CES120"</f>
        <v>CES120</v>
      </c>
      <c r="B1699" t="s">
        <v>4</v>
      </c>
      <c r="C1699">
        <v>62</v>
      </c>
    </row>
    <row r="1700" spans="1:3">
      <c r="A1700" t="str">
        <f>"CES213"</f>
        <v>CES213</v>
      </c>
      <c r="B1700" t="s">
        <v>4</v>
      </c>
      <c r="C1700">
        <v>62</v>
      </c>
    </row>
    <row r="1701" spans="1:3">
      <c r="A1701" t="str">
        <f>"CES280"</f>
        <v>CES280</v>
      </c>
      <c r="B1701" t="s">
        <v>4</v>
      </c>
      <c r="C1701">
        <v>62</v>
      </c>
    </row>
    <row r="1702" spans="1:3">
      <c r="A1702" t="str">
        <f>"CES300"</f>
        <v>CES300</v>
      </c>
      <c r="B1702" t="s">
        <v>4</v>
      </c>
      <c r="C1702">
        <v>62</v>
      </c>
    </row>
    <row r="1703" spans="1:3">
      <c r="A1703" t="str">
        <f>"CESA80"</f>
        <v>CESA80</v>
      </c>
      <c r="B1703" t="s">
        <v>4</v>
      </c>
      <c r="C1703">
        <v>62</v>
      </c>
    </row>
    <row r="1704" spans="1:3">
      <c r="A1704" t="str">
        <f>"CESCPD"</f>
        <v>CESCPD</v>
      </c>
      <c r="B1704" t="s">
        <v>4</v>
      </c>
      <c r="C1704">
        <v>62</v>
      </c>
    </row>
    <row r="1705" spans="1:3">
      <c r="A1705" t="str">
        <f>"CESCPE"</f>
        <v>CESCPE</v>
      </c>
      <c r="B1705" t="s">
        <v>4</v>
      </c>
      <c r="C1705">
        <v>62</v>
      </c>
    </row>
    <row r="1706" spans="1:3">
      <c r="A1706" t="str">
        <f>"CESFHY"</f>
        <v>CESFHY</v>
      </c>
      <c r="B1706" t="s">
        <v>4</v>
      </c>
      <c r="C1706">
        <v>62</v>
      </c>
    </row>
    <row r="1707" spans="1:3">
      <c r="A1707" t="str">
        <f>"CESG10"</f>
        <v>CESG10</v>
      </c>
      <c r="B1707" t="s">
        <v>4</v>
      </c>
      <c r="C1707">
        <v>62</v>
      </c>
    </row>
    <row r="1708" spans="1:3">
      <c r="A1708" t="str">
        <f>"CESHKB"</f>
        <v>CESHKB</v>
      </c>
      <c r="B1708" t="s">
        <v>4</v>
      </c>
      <c r="C1708">
        <v>62</v>
      </c>
    </row>
    <row r="1709" spans="1:3">
      <c r="A1709" t="str">
        <f>"CESHKM"</f>
        <v>CESHKM</v>
      </c>
      <c r="B1709" t="s">
        <v>4</v>
      </c>
      <c r="C1709">
        <v>62</v>
      </c>
    </row>
    <row r="1710" spans="1:3">
      <c r="A1710" t="str">
        <f>"CESP50"</f>
        <v>CESP50</v>
      </c>
      <c r="B1710" t="s">
        <v>4</v>
      </c>
      <c r="C1710">
        <v>62</v>
      </c>
    </row>
    <row r="1711" spans="1:3">
      <c r="A1711" t="str">
        <f>"H00009"</f>
        <v>H00009</v>
      </c>
      <c r="B1711" t="s">
        <v>4</v>
      </c>
      <c r="C1711">
        <v>62</v>
      </c>
    </row>
    <row r="1712" spans="1:3">
      <c r="A1712" t="str">
        <f>"H00010"</f>
        <v>H00010</v>
      </c>
      <c r="B1712" t="s">
        <v>4</v>
      </c>
      <c r="C1712">
        <v>62</v>
      </c>
    </row>
    <row r="1713" spans="1:3">
      <c r="A1713" t="str">
        <f>"H00012"</f>
        <v>H00012</v>
      </c>
      <c r="B1713" t="s">
        <v>4</v>
      </c>
      <c r="C1713">
        <v>62</v>
      </c>
    </row>
    <row r="1714" spans="1:3">
      <c r="A1714" t="str">
        <f>"H00013"</f>
        <v>H00013</v>
      </c>
      <c r="B1714" t="s">
        <v>4</v>
      </c>
      <c r="C1714">
        <v>62</v>
      </c>
    </row>
    <row r="1715" spans="1:3">
      <c r="A1715" t="str">
        <f>"H00015"</f>
        <v>H00015</v>
      </c>
      <c r="B1715" t="s">
        <v>4</v>
      </c>
      <c r="C1715">
        <v>62</v>
      </c>
    </row>
    <row r="1716" spans="1:3">
      <c r="A1716" t="str">
        <f>"H00016"</f>
        <v>H00016</v>
      </c>
      <c r="B1716" t="s">
        <v>4</v>
      </c>
      <c r="C1716">
        <v>62</v>
      </c>
    </row>
    <row r="1717" spans="1:3">
      <c r="A1717" t="str">
        <f>"H00043"</f>
        <v>H00043</v>
      </c>
      <c r="B1717" t="s">
        <v>4</v>
      </c>
      <c r="C1717">
        <v>62</v>
      </c>
    </row>
    <row r="1718" spans="1:3">
      <c r="A1718" t="str">
        <f>"H00044"</f>
        <v>H00044</v>
      </c>
      <c r="B1718" t="s">
        <v>4</v>
      </c>
      <c r="C1718">
        <v>62</v>
      </c>
    </row>
    <row r="1719" spans="1:3">
      <c r="A1719" t="str">
        <f>"H00045"</f>
        <v>H00045</v>
      </c>
      <c r="B1719" t="s">
        <v>4</v>
      </c>
      <c r="C1719">
        <v>62</v>
      </c>
    </row>
    <row r="1720" spans="1:3">
      <c r="A1720" t="str">
        <f>"H00046"</f>
        <v>H00046</v>
      </c>
      <c r="B1720" t="s">
        <v>4</v>
      </c>
      <c r="C1720">
        <v>62</v>
      </c>
    </row>
    <row r="1721" spans="1:3">
      <c r="A1721" t="str">
        <f>"H00047"</f>
        <v>H00047</v>
      </c>
      <c r="B1721" t="s">
        <v>4</v>
      </c>
      <c r="C1721">
        <v>62</v>
      </c>
    </row>
    <row r="1722" spans="1:3">
      <c r="A1722" t="str">
        <f>"H00140"</f>
        <v>H00140</v>
      </c>
      <c r="B1722" t="s">
        <v>4</v>
      </c>
      <c r="C1722">
        <v>62</v>
      </c>
    </row>
    <row r="1723" spans="1:3">
      <c r="A1723" t="str">
        <f>"H00149"</f>
        <v>H00149</v>
      </c>
      <c r="B1723" t="s">
        <v>4</v>
      </c>
      <c r="C1723">
        <v>62</v>
      </c>
    </row>
    <row r="1724" spans="1:3">
      <c r="A1724" t="str">
        <f>"H00150"</f>
        <v>H00150</v>
      </c>
      <c r="B1724" t="s">
        <v>4</v>
      </c>
      <c r="C1724">
        <v>62</v>
      </c>
    </row>
    <row r="1725" spans="1:3">
      <c r="A1725" t="str">
        <f>"H00151"</f>
        <v>H00151</v>
      </c>
      <c r="B1725" t="s">
        <v>4</v>
      </c>
      <c r="C1725">
        <v>62</v>
      </c>
    </row>
    <row r="1726" spans="1:3">
      <c r="A1726" t="str">
        <f>"H00152"</f>
        <v>H00152</v>
      </c>
      <c r="B1726" t="s">
        <v>4</v>
      </c>
      <c r="C1726">
        <v>62</v>
      </c>
    </row>
    <row r="1727" spans="1:3">
      <c r="A1727" t="str">
        <f>"H00153"</f>
        <v>H00153</v>
      </c>
      <c r="B1727" t="s">
        <v>4</v>
      </c>
      <c r="C1727">
        <v>62</v>
      </c>
    </row>
    <row r="1728" spans="1:3">
      <c r="A1728" t="str">
        <f>"H00159"</f>
        <v>H00159</v>
      </c>
      <c r="B1728" t="s">
        <v>4</v>
      </c>
      <c r="C1728">
        <v>62</v>
      </c>
    </row>
    <row r="1729" spans="1:3">
      <c r="A1729" t="str">
        <f>"H00300"</f>
        <v>H00300</v>
      </c>
      <c r="B1729" t="s">
        <v>4</v>
      </c>
      <c r="C1729">
        <v>62</v>
      </c>
    </row>
    <row r="1730" spans="1:3">
      <c r="A1730" t="str">
        <f>"H00821"</f>
        <v>H00821</v>
      </c>
      <c r="B1730" t="s">
        <v>4</v>
      </c>
      <c r="C1730">
        <v>62</v>
      </c>
    </row>
    <row r="1731" spans="1:3">
      <c r="A1731" t="str">
        <f>"H00822"</f>
        <v>H00822</v>
      </c>
      <c r="B1731" t="s">
        <v>4</v>
      </c>
      <c r="C1731">
        <v>62</v>
      </c>
    </row>
    <row r="1732" spans="1:3">
      <c r="A1732" t="str">
        <f>"H00824"</f>
        <v>H00824</v>
      </c>
      <c r="B1732" t="s">
        <v>4</v>
      </c>
      <c r="C1732">
        <v>62</v>
      </c>
    </row>
    <row r="1733" spans="1:3">
      <c r="A1733" t="str">
        <f>"H00825"</f>
        <v>H00825</v>
      </c>
      <c r="B1733" t="s">
        <v>4</v>
      </c>
      <c r="C1733">
        <v>62</v>
      </c>
    </row>
    <row r="1734" spans="1:3">
      <c r="A1734" t="str">
        <f>"H00826"</f>
        <v>H00826</v>
      </c>
      <c r="B1734" t="s">
        <v>4</v>
      </c>
      <c r="C1734">
        <v>62</v>
      </c>
    </row>
    <row r="1735" spans="1:3">
      <c r="A1735" t="str">
        <f>"H00852"</f>
        <v>H00852</v>
      </c>
      <c r="B1735" t="s">
        <v>4</v>
      </c>
      <c r="C1735">
        <v>62</v>
      </c>
    </row>
    <row r="1736" spans="1:3">
      <c r="A1736" t="str">
        <f>"H00903"</f>
        <v>H00903</v>
      </c>
      <c r="B1736" t="s">
        <v>4</v>
      </c>
      <c r="C1736">
        <v>62</v>
      </c>
    </row>
    <row r="1737" spans="1:3">
      <c r="A1737" t="str">
        <f>"H00904"</f>
        <v>H00904</v>
      </c>
      <c r="B1737" t="s">
        <v>4</v>
      </c>
      <c r="C1737">
        <v>62</v>
      </c>
    </row>
    <row r="1738" spans="1:3">
      <c r="A1738" t="str">
        <f>"H00905"</f>
        <v>H00905</v>
      </c>
      <c r="B1738" t="s">
        <v>4</v>
      </c>
      <c r="C1738">
        <v>62</v>
      </c>
    </row>
    <row r="1739" spans="1:3">
      <c r="A1739" t="str">
        <f>"H00906"</f>
        <v>H00906</v>
      </c>
      <c r="B1739" t="s">
        <v>4</v>
      </c>
      <c r="C1739">
        <v>62</v>
      </c>
    </row>
    <row r="1740" spans="1:3">
      <c r="A1740" t="str">
        <f>"H00907"</f>
        <v>H00907</v>
      </c>
      <c r="B1740" t="s">
        <v>4</v>
      </c>
      <c r="C1740">
        <v>62</v>
      </c>
    </row>
    <row r="1741" spans="1:3">
      <c r="A1741" t="str">
        <f>"H00919"</f>
        <v>H00919</v>
      </c>
      <c r="B1741" t="s">
        <v>4</v>
      </c>
      <c r="C1741">
        <v>62</v>
      </c>
    </row>
    <row r="1742" spans="1:3">
      <c r="A1742" t="str">
        <f>"H00922"</f>
        <v>H00922</v>
      </c>
      <c r="B1742" t="s">
        <v>4</v>
      </c>
      <c r="C1742">
        <v>62</v>
      </c>
    </row>
    <row r="1743" spans="1:3">
      <c r="A1743" t="str">
        <f>"H00999"</f>
        <v>H00999</v>
      </c>
      <c r="B1743" t="s">
        <v>4</v>
      </c>
      <c r="C1743">
        <v>62</v>
      </c>
    </row>
    <row r="1744" spans="1:3">
      <c r="A1744" t="str">
        <f>"H01140"</f>
        <v>H01140</v>
      </c>
      <c r="B1744" t="s">
        <v>4</v>
      </c>
      <c r="C1744">
        <v>62</v>
      </c>
    </row>
    <row r="1745" spans="1:3">
      <c r="A1745" t="str">
        <f>"H01141"</f>
        <v>H01141</v>
      </c>
      <c r="B1745" t="s">
        <v>4</v>
      </c>
      <c r="C1745">
        <v>62</v>
      </c>
    </row>
    <row r="1746" spans="1:3">
      <c r="A1746" t="str">
        <f>"H11001"</f>
        <v>H11001</v>
      </c>
      <c r="B1746" t="s">
        <v>4</v>
      </c>
      <c r="C1746">
        <v>62</v>
      </c>
    </row>
    <row r="1747" spans="1:3">
      <c r="A1747" t="str">
        <f>"H11002"</f>
        <v>H11002</v>
      </c>
      <c r="B1747" t="s">
        <v>4</v>
      </c>
      <c r="C1747">
        <v>62</v>
      </c>
    </row>
    <row r="1748" spans="1:3">
      <c r="A1748" t="str">
        <f>"H11003"</f>
        <v>H11003</v>
      </c>
      <c r="B1748" t="s">
        <v>4</v>
      </c>
      <c r="C1748">
        <v>62</v>
      </c>
    </row>
    <row r="1749" spans="1:3">
      <c r="A1749" t="str">
        <f>"H11004"</f>
        <v>H11004</v>
      </c>
      <c r="B1749" t="s">
        <v>4</v>
      </c>
      <c r="C1749">
        <v>62</v>
      </c>
    </row>
    <row r="1750" spans="1:3">
      <c r="A1750" t="str">
        <f>"H11005"</f>
        <v>H11005</v>
      </c>
      <c r="B1750" t="s">
        <v>4</v>
      </c>
      <c r="C1750">
        <v>62</v>
      </c>
    </row>
    <row r="1751" spans="1:3">
      <c r="A1751" t="str">
        <f>"H11006"</f>
        <v>H11006</v>
      </c>
      <c r="B1751" t="s">
        <v>4</v>
      </c>
      <c r="C1751">
        <v>62</v>
      </c>
    </row>
    <row r="1752" spans="1:3">
      <c r="A1752" t="str">
        <f>"H11007"</f>
        <v>H11007</v>
      </c>
      <c r="B1752" t="s">
        <v>4</v>
      </c>
      <c r="C1752">
        <v>62</v>
      </c>
    </row>
    <row r="1753" spans="1:3">
      <c r="A1753" t="str">
        <f>"H11008"</f>
        <v>H11008</v>
      </c>
      <c r="B1753" t="s">
        <v>4</v>
      </c>
      <c r="C1753">
        <v>62</v>
      </c>
    </row>
    <row r="1754" spans="1:3">
      <c r="A1754" t="str">
        <f>"H11009"</f>
        <v>H11009</v>
      </c>
      <c r="B1754" t="s">
        <v>4</v>
      </c>
      <c r="C1754">
        <v>62</v>
      </c>
    </row>
    <row r="1755" spans="1:3">
      <c r="A1755" t="str">
        <f>"H11010"</f>
        <v>H11010</v>
      </c>
      <c r="B1755" t="s">
        <v>4</v>
      </c>
      <c r="C1755">
        <v>62</v>
      </c>
    </row>
    <row r="1756" spans="1:3">
      <c r="A1756" t="str">
        <f>"H11014"</f>
        <v>H11014</v>
      </c>
      <c r="B1756" t="s">
        <v>4</v>
      </c>
      <c r="C1756">
        <v>62</v>
      </c>
    </row>
    <row r="1757" spans="1:3">
      <c r="A1757" t="str">
        <f>"H11015"</f>
        <v>H11015</v>
      </c>
      <c r="B1757" t="s">
        <v>4</v>
      </c>
      <c r="C1757">
        <v>62</v>
      </c>
    </row>
    <row r="1758" spans="1:3">
      <c r="A1758" t="str">
        <f>"H11016"</f>
        <v>H11016</v>
      </c>
      <c r="B1758" t="s">
        <v>4</v>
      </c>
      <c r="C1758">
        <v>62</v>
      </c>
    </row>
    <row r="1759" spans="1:3">
      <c r="A1759" t="str">
        <f>"H11017"</f>
        <v>H11017</v>
      </c>
      <c r="B1759" t="s">
        <v>4</v>
      </c>
      <c r="C1759">
        <v>62</v>
      </c>
    </row>
    <row r="1760" spans="1:3">
      <c r="A1760" t="str">
        <f>"H11018"</f>
        <v>H11018</v>
      </c>
      <c r="B1760" t="s">
        <v>4</v>
      </c>
      <c r="C1760">
        <v>62</v>
      </c>
    </row>
    <row r="1761" spans="1:3">
      <c r="A1761" t="str">
        <f>"H11019"</f>
        <v>H11019</v>
      </c>
      <c r="B1761" t="s">
        <v>4</v>
      </c>
      <c r="C1761">
        <v>62</v>
      </c>
    </row>
    <row r="1762" spans="1:3">
      <c r="A1762" t="str">
        <f>"H11020"</f>
        <v>H11020</v>
      </c>
      <c r="B1762" t="s">
        <v>4</v>
      </c>
      <c r="C1762">
        <v>62</v>
      </c>
    </row>
    <row r="1763" spans="1:3">
      <c r="A1763" t="str">
        <f>"H11021"</f>
        <v>H11021</v>
      </c>
      <c r="B1763" t="s">
        <v>4</v>
      </c>
      <c r="C1763">
        <v>62</v>
      </c>
    </row>
    <row r="1764" spans="1:3">
      <c r="A1764" t="str">
        <f>"H11022"</f>
        <v>H11022</v>
      </c>
      <c r="B1764" t="s">
        <v>4</v>
      </c>
      <c r="C1764">
        <v>62</v>
      </c>
    </row>
    <row r="1765" spans="1:3">
      <c r="A1765" t="str">
        <f>"H11023"</f>
        <v>H11023</v>
      </c>
      <c r="B1765" t="s">
        <v>4</v>
      </c>
      <c r="C1765">
        <v>62</v>
      </c>
    </row>
    <row r="1766" spans="1:3">
      <c r="A1766" t="str">
        <f>"H11024"</f>
        <v>H11024</v>
      </c>
      <c r="B1766" t="s">
        <v>4</v>
      </c>
      <c r="C1766">
        <v>62</v>
      </c>
    </row>
    <row r="1767" spans="1:3">
      <c r="A1767" t="str">
        <f>"H11025"</f>
        <v>H11025</v>
      </c>
      <c r="B1767" t="s">
        <v>4</v>
      </c>
      <c r="C1767">
        <v>62</v>
      </c>
    </row>
    <row r="1768" spans="1:3">
      <c r="A1768" t="str">
        <f>"H11026"</f>
        <v>H11026</v>
      </c>
      <c r="B1768" t="s">
        <v>4</v>
      </c>
      <c r="C1768">
        <v>62</v>
      </c>
    </row>
    <row r="1769" spans="1:3">
      <c r="A1769" t="str">
        <f>"H11027"</f>
        <v>H11027</v>
      </c>
      <c r="B1769" t="s">
        <v>4</v>
      </c>
      <c r="C1769">
        <v>62</v>
      </c>
    </row>
    <row r="1770" spans="1:3">
      <c r="A1770" t="str">
        <f>"H11028"</f>
        <v>H11028</v>
      </c>
      <c r="B1770" t="s">
        <v>4</v>
      </c>
      <c r="C1770">
        <v>62</v>
      </c>
    </row>
    <row r="1771" spans="1:3">
      <c r="A1771" t="str">
        <f>"H11030"</f>
        <v>H11030</v>
      </c>
      <c r="B1771" t="s">
        <v>4</v>
      </c>
      <c r="C1771">
        <v>62</v>
      </c>
    </row>
    <row r="1772" spans="1:3">
      <c r="A1772" t="str">
        <f>"H11031"</f>
        <v>H11031</v>
      </c>
      <c r="B1772" t="s">
        <v>4</v>
      </c>
      <c r="C1772">
        <v>62</v>
      </c>
    </row>
    <row r="1773" spans="1:3">
      <c r="A1773" t="str">
        <f>"H11041"</f>
        <v>H11041</v>
      </c>
      <c r="B1773" t="s">
        <v>4</v>
      </c>
      <c r="C1773">
        <v>62</v>
      </c>
    </row>
    <row r="1774" spans="1:3">
      <c r="A1774" t="str">
        <f>"H11042"</f>
        <v>H11042</v>
      </c>
      <c r="B1774" t="s">
        <v>4</v>
      </c>
      <c r="C1774">
        <v>62</v>
      </c>
    </row>
    <row r="1775" spans="1:3">
      <c r="A1775" t="str">
        <f>"H11043"</f>
        <v>H11043</v>
      </c>
      <c r="B1775" t="s">
        <v>4</v>
      </c>
      <c r="C1775">
        <v>62</v>
      </c>
    </row>
    <row r="1776" spans="1:3">
      <c r="A1776" t="str">
        <f>"H11044"</f>
        <v>H11044</v>
      </c>
      <c r="B1776" t="s">
        <v>4</v>
      </c>
      <c r="C1776">
        <v>62</v>
      </c>
    </row>
    <row r="1777" spans="1:3">
      <c r="A1777" t="str">
        <f>"H11045"</f>
        <v>H11045</v>
      </c>
      <c r="B1777" t="s">
        <v>4</v>
      </c>
      <c r="C1777">
        <v>62</v>
      </c>
    </row>
    <row r="1778" spans="1:3">
      <c r="A1778" t="str">
        <f>"H11046"</f>
        <v>H11046</v>
      </c>
      <c r="B1778" t="s">
        <v>4</v>
      </c>
      <c r="C1778">
        <v>62</v>
      </c>
    </row>
    <row r="1779" spans="1:3">
      <c r="A1779" t="str">
        <f>"H11047"</f>
        <v>H11047</v>
      </c>
      <c r="B1779" t="s">
        <v>4</v>
      </c>
      <c r="C1779">
        <v>62</v>
      </c>
    </row>
    <row r="1780" spans="1:3">
      <c r="A1780" t="str">
        <f>"H11049"</f>
        <v>H11049</v>
      </c>
      <c r="B1780" t="s">
        <v>4</v>
      </c>
      <c r="C1780">
        <v>62</v>
      </c>
    </row>
    <row r="1781" spans="1:3">
      <c r="A1781" t="str">
        <f>"H11050"</f>
        <v>H11050</v>
      </c>
      <c r="B1781" t="s">
        <v>4</v>
      </c>
      <c r="C1781">
        <v>62</v>
      </c>
    </row>
    <row r="1782" spans="1:3">
      <c r="A1782" t="str">
        <f>"H11051"</f>
        <v>H11051</v>
      </c>
      <c r="B1782" t="s">
        <v>4</v>
      </c>
      <c r="C1782">
        <v>62</v>
      </c>
    </row>
    <row r="1783" spans="1:3">
      <c r="A1783" t="str">
        <f>"H11052"</f>
        <v>H11052</v>
      </c>
      <c r="B1783" t="s">
        <v>4</v>
      </c>
      <c r="C1783">
        <v>62</v>
      </c>
    </row>
    <row r="1784" spans="1:3">
      <c r="A1784" t="str">
        <f>"H11053"</f>
        <v>H11053</v>
      </c>
      <c r="B1784" t="s">
        <v>4</v>
      </c>
      <c r="C1784">
        <v>62</v>
      </c>
    </row>
    <row r="1785" spans="1:3">
      <c r="A1785" t="str">
        <f>"H11054"</f>
        <v>H11054</v>
      </c>
      <c r="B1785" t="s">
        <v>4</v>
      </c>
      <c r="C1785">
        <v>62</v>
      </c>
    </row>
    <row r="1786" spans="1:3">
      <c r="A1786" t="str">
        <f>"H11055"</f>
        <v>H11055</v>
      </c>
      <c r="B1786" t="s">
        <v>4</v>
      </c>
      <c r="C1786">
        <v>62</v>
      </c>
    </row>
    <row r="1787" spans="1:3">
      <c r="A1787" t="str">
        <f>"H11057"</f>
        <v>H11057</v>
      </c>
      <c r="B1787" t="s">
        <v>4</v>
      </c>
      <c r="C1787">
        <v>62</v>
      </c>
    </row>
    <row r="1788" spans="1:3">
      <c r="A1788" t="str">
        <f>"H11058"</f>
        <v>H11058</v>
      </c>
      <c r="B1788" t="s">
        <v>4</v>
      </c>
      <c r="C1788">
        <v>62</v>
      </c>
    </row>
    <row r="1789" spans="1:3">
      <c r="A1789" t="str">
        <f>"H11059"</f>
        <v>H11059</v>
      </c>
      <c r="B1789" t="s">
        <v>4</v>
      </c>
      <c r="C1789">
        <v>62</v>
      </c>
    </row>
    <row r="1790" spans="1:3">
      <c r="A1790" t="str">
        <f>"H11060"</f>
        <v>H11060</v>
      </c>
      <c r="B1790" t="s">
        <v>4</v>
      </c>
      <c r="C1790">
        <v>62</v>
      </c>
    </row>
    <row r="1791" spans="1:3">
      <c r="A1791" t="str">
        <f>"H11061"</f>
        <v>H11061</v>
      </c>
      <c r="B1791" t="s">
        <v>4</v>
      </c>
      <c r="C1791">
        <v>62</v>
      </c>
    </row>
    <row r="1792" spans="1:3">
      <c r="A1792" t="str">
        <f>"H11062"</f>
        <v>H11062</v>
      </c>
      <c r="B1792" t="s">
        <v>4</v>
      </c>
      <c r="C1792">
        <v>62</v>
      </c>
    </row>
    <row r="1793" spans="1:3">
      <c r="A1793" t="str">
        <f>"H11063"</f>
        <v>H11063</v>
      </c>
      <c r="B1793" t="s">
        <v>4</v>
      </c>
      <c r="C1793">
        <v>62</v>
      </c>
    </row>
    <row r="1794" spans="1:3">
      <c r="A1794" t="str">
        <f>"H11064"</f>
        <v>H11064</v>
      </c>
      <c r="B1794" t="s">
        <v>4</v>
      </c>
      <c r="C1794">
        <v>62</v>
      </c>
    </row>
    <row r="1795" spans="1:3">
      <c r="A1795" t="str">
        <f>"H11065"</f>
        <v>H11065</v>
      </c>
      <c r="B1795" t="s">
        <v>4</v>
      </c>
      <c r="C1795">
        <v>62</v>
      </c>
    </row>
    <row r="1796" spans="1:3">
      <c r="A1796" t="str">
        <f>"H11066"</f>
        <v>H11066</v>
      </c>
      <c r="B1796" t="s">
        <v>4</v>
      </c>
      <c r="C1796">
        <v>62</v>
      </c>
    </row>
    <row r="1797" spans="1:3">
      <c r="A1797" t="str">
        <f>"H11067"</f>
        <v>H11067</v>
      </c>
      <c r="B1797" t="s">
        <v>4</v>
      </c>
      <c r="C1797">
        <v>62</v>
      </c>
    </row>
    <row r="1798" spans="1:3">
      <c r="A1798" t="str">
        <f>"H11068"</f>
        <v>H11068</v>
      </c>
      <c r="B1798" t="s">
        <v>4</v>
      </c>
      <c r="C1798">
        <v>62</v>
      </c>
    </row>
    <row r="1799" spans="1:3">
      <c r="A1799" t="str">
        <f>"H11069"</f>
        <v>H11069</v>
      </c>
      <c r="B1799" t="s">
        <v>4</v>
      </c>
      <c r="C1799">
        <v>62</v>
      </c>
    </row>
    <row r="1800" spans="1:3">
      <c r="A1800" t="str">
        <f>"H11070"</f>
        <v>H11070</v>
      </c>
      <c r="B1800" t="s">
        <v>4</v>
      </c>
      <c r="C1800">
        <v>62</v>
      </c>
    </row>
    <row r="1801" spans="1:3">
      <c r="A1801" t="str">
        <f>"H11071"</f>
        <v>H11071</v>
      </c>
      <c r="B1801" t="s">
        <v>4</v>
      </c>
      <c r="C1801">
        <v>62</v>
      </c>
    </row>
    <row r="1802" spans="1:3">
      <c r="A1802" t="str">
        <f>"H11072"</f>
        <v>H11072</v>
      </c>
      <c r="B1802" t="s">
        <v>4</v>
      </c>
      <c r="C1802">
        <v>62</v>
      </c>
    </row>
    <row r="1803" spans="1:3">
      <c r="A1803" t="str">
        <f>"H11073"</f>
        <v>H11073</v>
      </c>
      <c r="B1803" t="s">
        <v>4</v>
      </c>
      <c r="C1803">
        <v>62</v>
      </c>
    </row>
    <row r="1804" spans="1:3">
      <c r="A1804" t="str">
        <f>"H11074"</f>
        <v>H11074</v>
      </c>
      <c r="B1804" t="s">
        <v>4</v>
      </c>
      <c r="C1804">
        <v>62</v>
      </c>
    </row>
    <row r="1805" spans="1:3">
      <c r="A1805" t="str">
        <f>"H11075"</f>
        <v>H11075</v>
      </c>
      <c r="B1805" t="s">
        <v>4</v>
      </c>
      <c r="C1805">
        <v>62</v>
      </c>
    </row>
    <row r="1806" spans="1:3">
      <c r="A1806" t="str">
        <f>"H11076"</f>
        <v>H11076</v>
      </c>
      <c r="B1806" t="s">
        <v>4</v>
      </c>
      <c r="C1806">
        <v>62</v>
      </c>
    </row>
    <row r="1807" spans="1:3">
      <c r="A1807" t="str">
        <f>"H11077"</f>
        <v>H11077</v>
      </c>
      <c r="B1807" t="s">
        <v>4</v>
      </c>
      <c r="C1807">
        <v>62</v>
      </c>
    </row>
    <row r="1808" spans="1:3">
      <c r="A1808" t="str">
        <f>"H11078"</f>
        <v>H11078</v>
      </c>
      <c r="B1808" t="s">
        <v>4</v>
      </c>
      <c r="C1808">
        <v>62</v>
      </c>
    </row>
    <row r="1809" spans="1:3">
      <c r="A1809" t="str">
        <f>"H11079"</f>
        <v>H11079</v>
      </c>
      <c r="B1809" t="s">
        <v>4</v>
      </c>
      <c r="C1809">
        <v>62</v>
      </c>
    </row>
    <row r="1810" spans="1:3">
      <c r="A1810" t="str">
        <f>"H11080"</f>
        <v>H11080</v>
      </c>
      <c r="B1810" t="s">
        <v>4</v>
      </c>
      <c r="C1810">
        <v>62</v>
      </c>
    </row>
    <row r="1811" spans="1:3">
      <c r="A1811" t="str">
        <f>"H11081"</f>
        <v>H11081</v>
      </c>
      <c r="B1811" t="s">
        <v>4</v>
      </c>
      <c r="C1811">
        <v>62</v>
      </c>
    </row>
    <row r="1812" spans="1:3">
      <c r="A1812" t="str">
        <f>"H11082"</f>
        <v>H11082</v>
      </c>
      <c r="B1812" t="s">
        <v>4</v>
      </c>
      <c r="C1812">
        <v>62</v>
      </c>
    </row>
    <row r="1813" spans="1:3">
      <c r="A1813" t="str">
        <f>"H11083"</f>
        <v>H11083</v>
      </c>
      <c r="B1813" t="s">
        <v>4</v>
      </c>
      <c r="C1813">
        <v>62</v>
      </c>
    </row>
    <row r="1814" spans="1:3">
      <c r="A1814" t="str">
        <f>"H11084"</f>
        <v>H11084</v>
      </c>
      <c r="B1814" t="s">
        <v>4</v>
      </c>
      <c r="C1814">
        <v>62</v>
      </c>
    </row>
    <row r="1815" spans="1:3">
      <c r="A1815" t="str">
        <f>"H11085"</f>
        <v>H11085</v>
      </c>
      <c r="B1815" t="s">
        <v>4</v>
      </c>
      <c r="C1815">
        <v>62</v>
      </c>
    </row>
    <row r="1816" spans="1:3">
      <c r="A1816" t="str">
        <f>"H11086"</f>
        <v>H11086</v>
      </c>
      <c r="B1816" t="s">
        <v>4</v>
      </c>
      <c r="C1816">
        <v>62</v>
      </c>
    </row>
    <row r="1817" spans="1:3">
      <c r="A1817" t="str">
        <f>"H11087"</f>
        <v>H11087</v>
      </c>
      <c r="B1817" t="s">
        <v>4</v>
      </c>
      <c r="C1817">
        <v>62</v>
      </c>
    </row>
    <row r="1818" spans="1:3">
      <c r="A1818" t="str">
        <f>"H11088"</f>
        <v>H11088</v>
      </c>
      <c r="B1818" t="s">
        <v>4</v>
      </c>
      <c r="C1818">
        <v>62</v>
      </c>
    </row>
    <row r="1819" spans="1:3">
      <c r="A1819" t="str">
        <f>"H11089"</f>
        <v>H11089</v>
      </c>
      <c r="B1819" t="s">
        <v>4</v>
      </c>
      <c r="C1819">
        <v>62</v>
      </c>
    </row>
    <row r="1820" spans="1:3">
      <c r="A1820" t="str">
        <f>"H11090"</f>
        <v>H11090</v>
      </c>
      <c r="B1820" t="s">
        <v>4</v>
      </c>
      <c r="C1820">
        <v>62</v>
      </c>
    </row>
    <row r="1821" spans="1:3">
      <c r="A1821" t="str">
        <f>"H11091"</f>
        <v>H11091</v>
      </c>
      <c r="B1821" t="s">
        <v>4</v>
      </c>
      <c r="C1821">
        <v>62</v>
      </c>
    </row>
    <row r="1822" spans="1:3">
      <c r="A1822" t="str">
        <f>"H11092"</f>
        <v>H11092</v>
      </c>
      <c r="B1822" t="s">
        <v>4</v>
      </c>
      <c r="C1822">
        <v>62</v>
      </c>
    </row>
    <row r="1823" spans="1:3">
      <c r="A1823" t="str">
        <f>"H11093"</f>
        <v>H11093</v>
      </c>
      <c r="B1823" t="s">
        <v>4</v>
      </c>
      <c r="C1823">
        <v>62</v>
      </c>
    </row>
    <row r="1824" spans="1:3">
      <c r="A1824" t="str">
        <f>"H11094"</f>
        <v>H11094</v>
      </c>
      <c r="B1824" t="s">
        <v>4</v>
      </c>
      <c r="C1824">
        <v>62</v>
      </c>
    </row>
    <row r="1825" spans="1:3">
      <c r="A1825" t="str">
        <f>"H11095"</f>
        <v>H11095</v>
      </c>
      <c r="B1825" t="s">
        <v>4</v>
      </c>
      <c r="C1825">
        <v>62</v>
      </c>
    </row>
    <row r="1826" spans="1:3">
      <c r="A1826" t="str">
        <f>"H11096"</f>
        <v>H11096</v>
      </c>
      <c r="B1826" t="s">
        <v>4</v>
      </c>
      <c r="C1826">
        <v>62</v>
      </c>
    </row>
    <row r="1827" spans="1:3">
      <c r="A1827" t="str">
        <f>"H11097"</f>
        <v>H11097</v>
      </c>
      <c r="B1827" t="s">
        <v>4</v>
      </c>
      <c r="C1827">
        <v>62</v>
      </c>
    </row>
    <row r="1828" spans="1:3">
      <c r="A1828" t="str">
        <f>"H11098"</f>
        <v>H11098</v>
      </c>
      <c r="B1828" t="s">
        <v>4</v>
      </c>
      <c r="C1828">
        <v>62</v>
      </c>
    </row>
    <row r="1829" spans="1:3">
      <c r="A1829" t="str">
        <f>"H11099"</f>
        <v>H11099</v>
      </c>
      <c r="B1829" t="s">
        <v>4</v>
      </c>
      <c r="C1829">
        <v>62</v>
      </c>
    </row>
    <row r="1830" spans="1:3">
      <c r="A1830" t="str">
        <f>"H11100"</f>
        <v>H11100</v>
      </c>
      <c r="B1830" t="s">
        <v>4</v>
      </c>
      <c r="C1830">
        <v>62</v>
      </c>
    </row>
    <row r="1831" spans="1:3">
      <c r="A1831" t="str">
        <f>"H11110"</f>
        <v>H11110</v>
      </c>
      <c r="B1831" t="s">
        <v>4</v>
      </c>
      <c r="C1831">
        <v>62</v>
      </c>
    </row>
    <row r="1832" spans="1:3">
      <c r="A1832" t="str">
        <f>"H11120"</f>
        <v>H11120</v>
      </c>
      <c r="B1832" t="s">
        <v>4</v>
      </c>
      <c r="C1832">
        <v>62</v>
      </c>
    </row>
    <row r="1833" spans="1:3">
      <c r="A1833" t="str">
        <f>"H11121"</f>
        <v>H11121</v>
      </c>
      <c r="B1833" t="s">
        <v>4</v>
      </c>
      <c r="C1833">
        <v>62</v>
      </c>
    </row>
    <row r="1834" spans="1:3">
      <c r="A1834" t="str">
        <f>"H11123"</f>
        <v>H11123</v>
      </c>
      <c r="B1834" t="s">
        <v>4</v>
      </c>
      <c r="C1834">
        <v>62</v>
      </c>
    </row>
    <row r="1835" spans="1:3">
      <c r="A1835" t="str">
        <f>"H11136"</f>
        <v>H11136</v>
      </c>
      <c r="B1835" t="s">
        <v>4</v>
      </c>
      <c r="C1835">
        <v>62</v>
      </c>
    </row>
    <row r="1836" spans="1:3">
      <c r="A1836" t="str">
        <f>"H11140"</f>
        <v>H11140</v>
      </c>
      <c r="B1836" t="s">
        <v>4</v>
      </c>
      <c r="C1836">
        <v>62</v>
      </c>
    </row>
    <row r="1837" spans="1:3">
      <c r="A1837" t="str">
        <f>"H11141"</f>
        <v>H11141</v>
      </c>
      <c r="B1837" t="s">
        <v>4</v>
      </c>
      <c r="C1837">
        <v>62</v>
      </c>
    </row>
    <row r="1838" spans="1:3">
      <c r="A1838" t="str">
        <f>"H11143"</f>
        <v>H11143</v>
      </c>
      <c r="B1838" t="s">
        <v>4</v>
      </c>
      <c r="C1838">
        <v>62</v>
      </c>
    </row>
    <row r="1839" spans="1:3">
      <c r="A1839" t="str">
        <f>"H11144"</f>
        <v>H11144</v>
      </c>
      <c r="B1839" t="s">
        <v>4</v>
      </c>
      <c r="C1839">
        <v>62</v>
      </c>
    </row>
    <row r="1840" spans="1:3">
      <c r="A1840" t="str">
        <f>"H11146"</f>
        <v>H11146</v>
      </c>
      <c r="B1840" t="s">
        <v>4</v>
      </c>
      <c r="C1840">
        <v>62</v>
      </c>
    </row>
    <row r="1841" spans="1:3">
      <c r="A1841" t="str">
        <f>"H11152"</f>
        <v>H11152</v>
      </c>
      <c r="B1841" t="s">
        <v>4</v>
      </c>
      <c r="C1841">
        <v>62</v>
      </c>
    </row>
    <row r="1842" spans="1:3">
      <c r="A1842" t="str">
        <f>"H11153"</f>
        <v>H11153</v>
      </c>
      <c r="B1842" t="s">
        <v>4</v>
      </c>
      <c r="C1842">
        <v>62</v>
      </c>
    </row>
    <row r="1843" spans="1:3">
      <c r="A1843" t="str">
        <f>"H11164"</f>
        <v>H11164</v>
      </c>
      <c r="B1843" t="s">
        <v>4</v>
      </c>
      <c r="C1843">
        <v>62</v>
      </c>
    </row>
    <row r="1844" spans="1:3">
      <c r="A1844" t="str">
        <f>"H11185"</f>
        <v>H11185</v>
      </c>
      <c r="B1844" t="s">
        <v>4</v>
      </c>
      <c r="C1844">
        <v>62</v>
      </c>
    </row>
    <row r="1845" spans="1:3">
      <c r="A1845" t="str">
        <f>"H20073"</f>
        <v>H20073</v>
      </c>
      <c r="B1845" t="s">
        <v>4</v>
      </c>
      <c r="C1845">
        <v>62</v>
      </c>
    </row>
    <row r="1846" spans="1:3">
      <c r="A1846" t="str">
        <f>"H20089"</f>
        <v>H20089</v>
      </c>
      <c r="B1846" t="s">
        <v>4</v>
      </c>
      <c r="C1846">
        <v>62</v>
      </c>
    </row>
    <row r="1847" spans="1:3">
      <c r="A1847" t="str">
        <f>"H20090"</f>
        <v>H20090</v>
      </c>
      <c r="B1847" t="s">
        <v>4</v>
      </c>
      <c r="C1847">
        <v>62</v>
      </c>
    </row>
    <row r="1848" spans="1:3">
      <c r="A1848" t="str">
        <f>"H20091"</f>
        <v>H20091</v>
      </c>
      <c r="B1848" t="s">
        <v>4</v>
      </c>
      <c r="C1848">
        <v>62</v>
      </c>
    </row>
    <row r="1849" spans="1:3">
      <c r="A1849" t="str">
        <f>"H20092"</f>
        <v>H20092</v>
      </c>
      <c r="B1849" t="s">
        <v>4</v>
      </c>
      <c r="C1849">
        <v>62</v>
      </c>
    </row>
    <row r="1850" spans="1:3">
      <c r="A1850" t="str">
        <f>"H20093"</f>
        <v>H20093</v>
      </c>
      <c r="B1850" t="s">
        <v>4</v>
      </c>
      <c r="C1850">
        <v>62</v>
      </c>
    </row>
    <row r="1851" spans="1:3">
      <c r="A1851" t="str">
        <f>"H20094"</f>
        <v>H20094</v>
      </c>
      <c r="B1851" t="s">
        <v>4</v>
      </c>
      <c r="C1851">
        <v>62</v>
      </c>
    </row>
    <row r="1852" spans="1:3">
      <c r="A1852" t="str">
        <f>"H20095"</f>
        <v>H20095</v>
      </c>
      <c r="B1852" t="s">
        <v>4</v>
      </c>
      <c r="C1852">
        <v>62</v>
      </c>
    </row>
    <row r="1853" spans="1:3">
      <c r="A1853" t="str">
        <f>"H20096"</f>
        <v>H20096</v>
      </c>
      <c r="B1853" t="s">
        <v>4</v>
      </c>
      <c r="C1853">
        <v>62</v>
      </c>
    </row>
    <row r="1854" spans="1:3">
      <c r="A1854" t="str">
        <f>"H20097"</f>
        <v>H20097</v>
      </c>
      <c r="B1854" t="s">
        <v>4</v>
      </c>
      <c r="C1854">
        <v>62</v>
      </c>
    </row>
    <row r="1855" spans="1:3">
      <c r="A1855" t="str">
        <f>"H20098"</f>
        <v>H20098</v>
      </c>
      <c r="B1855" t="s">
        <v>4</v>
      </c>
      <c r="C1855">
        <v>62</v>
      </c>
    </row>
    <row r="1856" spans="1:3">
      <c r="A1856" t="str">
        <f>"H20099"</f>
        <v>H20099</v>
      </c>
      <c r="B1856" t="s">
        <v>4</v>
      </c>
      <c r="C1856">
        <v>62</v>
      </c>
    </row>
    <row r="1857" spans="1:3">
      <c r="A1857" t="str">
        <f>"H20269"</f>
        <v>H20269</v>
      </c>
      <c r="B1857" t="s">
        <v>4</v>
      </c>
      <c r="C1857">
        <v>62</v>
      </c>
    </row>
    <row r="1858" spans="1:3">
      <c r="A1858" t="str">
        <f>"H20270"</f>
        <v>H20270</v>
      </c>
      <c r="B1858" t="s">
        <v>4</v>
      </c>
      <c r="C1858">
        <v>62</v>
      </c>
    </row>
    <row r="1859" spans="1:3">
      <c r="A1859" t="str">
        <f>"H20366"</f>
        <v>H20366</v>
      </c>
      <c r="B1859" t="s">
        <v>4</v>
      </c>
      <c r="C1859">
        <v>62</v>
      </c>
    </row>
    <row r="1860" spans="1:3">
      <c r="A1860" t="str">
        <f>"H20740"</f>
        <v>H20740</v>
      </c>
      <c r="B1860" t="s">
        <v>4</v>
      </c>
      <c r="C1860">
        <v>62</v>
      </c>
    </row>
    <row r="1861" spans="1:3">
      <c r="A1861" t="str">
        <f>"H20784"</f>
        <v>H20784</v>
      </c>
      <c r="B1861" t="s">
        <v>4</v>
      </c>
      <c r="C1861">
        <v>62</v>
      </c>
    </row>
    <row r="1862" spans="1:3">
      <c r="A1862" t="str">
        <f>"H20785"</f>
        <v>H20785</v>
      </c>
      <c r="B1862" t="s">
        <v>4</v>
      </c>
      <c r="C1862">
        <v>62</v>
      </c>
    </row>
    <row r="1863" spans="1:3">
      <c r="A1863" t="str">
        <f>"H20836"</f>
        <v>H20836</v>
      </c>
      <c r="B1863" t="s">
        <v>4</v>
      </c>
      <c r="C1863">
        <v>62</v>
      </c>
    </row>
    <row r="1864" spans="1:3">
      <c r="A1864" t="str">
        <f>"H20837"</f>
        <v>H20837</v>
      </c>
      <c r="B1864" t="s">
        <v>4</v>
      </c>
      <c r="C1864">
        <v>62</v>
      </c>
    </row>
    <row r="1865" spans="1:3">
      <c r="A1865" t="str">
        <f>"H20838"</f>
        <v>H20838</v>
      </c>
      <c r="B1865" t="s">
        <v>4</v>
      </c>
      <c r="C1865">
        <v>62</v>
      </c>
    </row>
    <row r="1866" spans="1:3">
      <c r="A1866" t="str">
        <f>"H20839"</f>
        <v>H20839</v>
      </c>
      <c r="B1866" t="s">
        <v>4</v>
      </c>
      <c r="C1866">
        <v>62</v>
      </c>
    </row>
    <row r="1867" spans="1:3">
      <c r="A1867" t="str">
        <f>"H20840"</f>
        <v>H20840</v>
      </c>
      <c r="B1867" t="s">
        <v>4</v>
      </c>
      <c r="C1867">
        <v>62</v>
      </c>
    </row>
    <row r="1868" spans="1:3">
      <c r="A1868" t="str">
        <f>"H20907"</f>
        <v>H20907</v>
      </c>
      <c r="B1868" t="s">
        <v>4</v>
      </c>
      <c r="C1868">
        <v>62</v>
      </c>
    </row>
    <row r="1869" spans="1:3">
      <c r="A1869" t="str">
        <f>"H20908"</f>
        <v>H20908</v>
      </c>
      <c r="B1869" t="s">
        <v>4</v>
      </c>
      <c r="C1869">
        <v>62</v>
      </c>
    </row>
    <row r="1870" spans="1:3">
      <c r="A1870" t="str">
        <f>"H20914"</f>
        <v>H20914</v>
      </c>
      <c r="B1870" t="s">
        <v>4</v>
      </c>
      <c r="C1870">
        <v>62</v>
      </c>
    </row>
    <row r="1871" spans="1:3">
      <c r="A1871" t="str">
        <f>"H20915"</f>
        <v>H20915</v>
      </c>
      <c r="B1871" t="s">
        <v>4</v>
      </c>
      <c r="C1871">
        <v>62</v>
      </c>
    </row>
    <row r="1872" spans="1:3">
      <c r="A1872" t="str">
        <f>"H20917"</f>
        <v>H20917</v>
      </c>
      <c r="B1872" t="s">
        <v>4</v>
      </c>
      <c r="C1872">
        <v>62</v>
      </c>
    </row>
    <row r="1873" spans="1:3">
      <c r="A1873" t="str">
        <f>"H20918"</f>
        <v>H20918</v>
      </c>
      <c r="B1873" t="s">
        <v>4</v>
      </c>
      <c r="C1873">
        <v>62</v>
      </c>
    </row>
    <row r="1874" spans="1:3">
      <c r="A1874" t="str">
        <f>"H20955"</f>
        <v>H20955</v>
      </c>
      <c r="B1874" t="s">
        <v>4</v>
      </c>
      <c r="C1874">
        <v>62</v>
      </c>
    </row>
    <row r="1875" spans="1:3">
      <c r="A1875" t="str">
        <f>"H20992"</f>
        <v>H20992</v>
      </c>
      <c r="B1875" t="s">
        <v>4</v>
      </c>
      <c r="C1875">
        <v>62</v>
      </c>
    </row>
    <row r="1876" spans="1:3">
      <c r="A1876" t="str">
        <f>"H20993"</f>
        <v>H20993</v>
      </c>
      <c r="B1876" t="s">
        <v>4</v>
      </c>
      <c r="C1876">
        <v>62</v>
      </c>
    </row>
    <row r="1877" spans="1:3">
      <c r="A1877" t="str">
        <f>"H21053"</f>
        <v>H21053</v>
      </c>
      <c r="B1877" t="s">
        <v>4</v>
      </c>
      <c r="C1877">
        <v>62</v>
      </c>
    </row>
    <row r="1878" spans="1:3">
      <c r="A1878" t="str">
        <f>"H21130"</f>
        <v>H21130</v>
      </c>
      <c r="B1878" t="s">
        <v>4</v>
      </c>
      <c r="C1878">
        <v>62</v>
      </c>
    </row>
    <row r="1879" spans="1:3">
      <c r="A1879" t="str">
        <f>"H21138"</f>
        <v>H21138</v>
      </c>
      <c r="B1879" t="s">
        <v>4</v>
      </c>
      <c r="C1879">
        <v>62</v>
      </c>
    </row>
    <row r="1880" spans="1:3">
      <c r="A1880" t="str">
        <f>"H21143"</f>
        <v>H21143</v>
      </c>
      <c r="B1880" t="s">
        <v>4</v>
      </c>
      <c r="C1880">
        <v>62</v>
      </c>
    </row>
    <row r="1881" spans="1:3">
      <c r="A1881" t="str">
        <f>"H21157"</f>
        <v>H21157</v>
      </c>
      <c r="B1881" t="s">
        <v>4</v>
      </c>
      <c r="C1881">
        <v>62</v>
      </c>
    </row>
    <row r="1882" spans="1:3">
      <c r="A1882" t="str">
        <f>"H21158"</f>
        <v>H21158</v>
      </c>
      <c r="B1882" t="s">
        <v>4</v>
      </c>
      <c r="C1882">
        <v>62</v>
      </c>
    </row>
    <row r="1883" spans="1:3">
      <c r="A1883" t="str">
        <f>"H30007"</f>
        <v>H30007</v>
      </c>
      <c r="B1883" t="s">
        <v>4</v>
      </c>
      <c r="C1883">
        <v>62</v>
      </c>
    </row>
    <row r="1884" spans="1:3">
      <c r="A1884" t="str">
        <f>"H30008"</f>
        <v>H30008</v>
      </c>
      <c r="B1884" t="s">
        <v>4</v>
      </c>
      <c r="C1884">
        <v>62</v>
      </c>
    </row>
    <row r="1885" spans="1:3">
      <c r="A1885" t="str">
        <f>"H30009"</f>
        <v>H30009</v>
      </c>
      <c r="B1885" t="s">
        <v>4</v>
      </c>
      <c r="C1885">
        <v>62</v>
      </c>
    </row>
    <row r="1886" spans="1:3">
      <c r="A1886" t="str">
        <f>"H30011"</f>
        <v>H30011</v>
      </c>
      <c r="B1886" t="s">
        <v>4</v>
      </c>
      <c r="C1886">
        <v>62</v>
      </c>
    </row>
    <row r="1887" spans="1:3">
      <c r="A1887" t="str">
        <f>"H30012"</f>
        <v>H30012</v>
      </c>
      <c r="B1887" t="s">
        <v>4</v>
      </c>
      <c r="C1887">
        <v>62</v>
      </c>
    </row>
    <row r="1888" spans="1:3">
      <c r="A1888" t="str">
        <f>"H30013"</f>
        <v>H30013</v>
      </c>
      <c r="B1888" t="s">
        <v>4</v>
      </c>
      <c r="C1888">
        <v>62</v>
      </c>
    </row>
    <row r="1889" spans="1:3">
      <c r="A1889" t="str">
        <f>"H30014"</f>
        <v>H30014</v>
      </c>
      <c r="B1889" t="s">
        <v>4</v>
      </c>
      <c r="C1889">
        <v>62</v>
      </c>
    </row>
    <row r="1890" spans="1:3">
      <c r="A1890" t="str">
        <f>"H30015"</f>
        <v>H30015</v>
      </c>
      <c r="B1890" t="s">
        <v>4</v>
      </c>
      <c r="C1890">
        <v>62</v>
      </c>
    </row>
    <row r="1891" spans="1:3">
      <c r="A1891" t="str">
        <f>"H30016"</f>
        <v>H30016</v>
      </c>
      <c r="B1891" t="s">
        <v>4</v>
      </c>
      <c r="C1891">
        <v>62</v>
      </c>
    </row>
    <row r="1892" spans="1:3">
      <c r="A1892" t="str">
        <f>"H30017"</f>
        <v>H30017</v>
      </c>
      <c r="B1892" t="s">
        <v>4</v>
      </c>
      <c r="C1892">
        <v>62</v>
      </c>
    </row>
    <row r="1893" spans="1:3">
      <c r="A1893" t="str">
        <f>"H30018"</f>
        <v>H30018</v>
      </c>
      <c r="B1893" t="s">
        <v>4</v>
      </c>
      <c r="C1893">
        <v>62</v>
      </c>
    </row>
    <row r="1894" spans="1:3">
      <c r="A1894" t="str">
        <f>"H30019"</f>
        <v>H30019</v>
      </c>
      <c r="B1894" t="s">
        <v>4</v>
      </c>
      <c r="C1894">
        <v>62</v>
      </c>
    </row>
    <row r="1895" spans="1:3">
      <c r="A1895" t="str">
        <f>"H30020"</f>
        <v>H30020</v>
      </c>
      <c r="B1895" t="s">
        <v>4</v>
      </c>
      <c r="C1895">
        <v>62</v>
      </c>
    </row>
    <row r="1896" spans="1:3">
      <c r="A1896" t="str">
        <f>"H30022"</f>
        <v>H30022</v>
      </c>
      <c r="B1896" t="s">
        <v>4</v>
      </c>
      <c r="C1896">
        <v>62</v>
      </c>
    </row>
    <row r="1897" spans="1:3">
      <c r="A1897" t="str">
        <f>"H30023"</f>
        <v>H30023</v>
      </c>
      <c r="B1897" t="s">
        <v>4</v>
      </c>
      <c r="C1897">
        <v>62</v>
      </c>
    </row>
    <row r="1898" spans="1:3">
      <c r="A1898" t="str">
        <f>"H30024"</f>
        <v>H30024</v>
      </c>
      <c r="B1898" t="s">
        <v>4</v>
      </c>
      <c r="C1898">
        <v>62</v>
      </c>
    </row>
    <row r="1899" spans="1:3">
      <c r="A1899" t="str">
        <f>"H30031"</f>
        <v>H30031</v>
      </c>
      <c r="B1899" t="s">
        <v>4</v>
      </c>
      <c r="C1899">
        <v>62</v>
      </c>
    </row>
    <row r="1900" spans="1:3">
      <c r="A1900" t="str">
        <f>"H30034"</f>
        <v>H30034</v>
      </c>
      <c r="B1900" t="s">
        <v>4</v>
      </c>
      <c r="C1900">
        <v>62</v>
      </c>
    </row>
    <row r="1901" spans="1:3">
      <c r="A1901" t="str">
        <f>"H30035"</f>
        <v>H30035</v>
      </c>
      <c r="B1901" t="s">
        <v>4</v>
      </c>
      <c r="C1901">
        <v>62</v>
      </c>
    </row>
    <row r="1902" spans="1:3">
      <c r="A1902" t="str">
        <f>"H30036"</f>
        <v>H30036</v>
      </c>
      <c r="B1902" t="s">
        <v>4</v>
      </c>
      <c r="C1902">
        <v>62</v>
      </c>
    </row>
    <row r="1903" spans="1:3">
      <c r="A1903" t="str">
        <f>"H30037"</f>
        <v>H30037</v>
      </c>
      <c r="B1903" t="s">
        <v>4</v>
      </c>
      <c r="C1903">
        <v>62</v>
      </c>
    </row>
    <row r="1904" spans="1:3">
      <c r="A1904" t="str">
        <f>"H30038"</f>
        <v>H30038</v>
      </c>
      <c r="B1904" t="s">
        <v>4</v>
      </c>
      <c r="C1904">
        <v>62</v>
      </c>
    </row>
    <row r="1905" spans="1:3">
      <c r="A1905" t="str">
        <f>"H30039"</f>
        <v>H30039</v>
      </c>
      <c r="B1905" t="s">
        <v>4</v>
      </c>
      <c r="C1905">
        <v>62</v>
      </c>
    </row>
    <row r="1906" spans="1:3">
      <c r="A1906" t="str">
        <f>"H30040"</f>
        <v>H30040</v>
      </c>
      <c r="B1906" t="s">
        <v>4</v>
      </c>
      <c r="C1906">
        <v>62</v>
      </c>
    </row>
    <row r="1907" spans="1:3">
      <c r="A1907" t="str">
        <f>"H30041"</f>
        <v>H30041</v>
      </c>
      <c r="B1907" t="s">
        <v>4</v>
      </c>
      <c r="C1907">
        <v>62</v>
      </c>
    </row>
    <row r="1908" spans="1:3">
      <c r="A1908" t="str">
        <f>"H30042"</f>
        <v>H30042</v>
      </c>
      <c r="B1908" t="s">
        <v>4</v>
      </c>
      <c r="C1908">
        <v>62</v>
      </c>
    </row>
    <row r="1909" spans="1:3">
      <c r="A1909" t="str">
        <f>"H30043"</f>
        <v>H30043</v>
      </c>
      <c r="B1909" t="s">
        <v>4</v>
      </c>
      <c r="C1909">
        <v>62</v>
      </c>
    </row>
    <row r="1910" spans="1:3">
      <c r="A1910" t="str">
        <f>"H30044"</f>
        <v>H30044</v>
      </c>
      <c r="B1910" t="s">
        <v>4</v>
      </c>
      <c r="C1910">
        <v>62</v>
      </c>
    </row>
    <row r="1911" spans="1:3">
      <c r="A1911" t="str">
        <f>"H30045"</f>
        <v>H30045</v>
      </c>
      <c r="B1911" t="s">
        <v>4</v>
      </c>
      <c r="C1911">
        <v>62</v>
      </c>
    </row>
    <row r="1912" spans="1:3">
      <c r="A1912" t="str">
        <f>"H30046"</f>
        <v>H30046</v>
      </c>
      <c r="B1912" t="s">
        <v>4</v>
      </c>
      <c r="C1912">
        <v>62</v>
      </c>
    </row>
    <row r="1913" spans="1:3">
      <c r="A1913" t="str">
        <f>"H30047"</f>
        <v>H30047</v>
      </c>
      <c r="B1913" t="s">
        <v>4</v>
      </c>
      <c r="C1913">
        <v>62</v>
      </c>
    </row>
    <row r="1914" spans="1:3">
      <c r="A1914" t="str">
        <f>"H30048"</f>
        <v>H30048</v>
      </c>
      <c r="B1914" t="s">
        <v>4</v>
      </c>
      <c r="C1914">
        <v>62</v>
      </c>
    </row>
    <row r="1915" spans="1:3">
      <c r="A1915" t="str">
        <f>"H30049"</f>
        <v>H30049</v>
      </c>
      <c r="B1915" t="s">
        <v>4</v>
      </c>
      <c r="C1915">
        <v>62</v>
      </c>
    </row>
    <row r="1916" spans="1:3">
      <c r="A1916" t="str">
        <f>"H30050"</f>
        <v>H30050</v>
      </c>
      <c r="B1916" t="s">
        <v>4</v>
      </c>
      <c r="C1916">
        <v>62</v>
      </c>
    </row>
    <row r="1917" spans="1:3">
      <c r="A1917" t="str">
        <f>"H30051"</f>
        <v>H30051</v>
      </c>
      <c r="B1917" t="s">
        <v>4</v>
      </c>
      <c r="C1917">
        <v>62</v>
      </c>
    </row>
    <row r="1918" spans="1:3">
      <c r="A1918" t="str">
        <f>"H30052"</f>
        <v>H30052</v>
      </c>
      <c r="B1918" t="s">
        <v>4</v>
      </c>
      <c r="C1918">
        <v>62</v>
      </c>
    </row>
    <row r="1919" spans="1:3">
      <c r="A1919" t="str">
        <f>"H30053"</f>
        <v>H30053</v>
      </c>
      <c r="B1919" t="s">
        <v>4</v>
      </c>
      <c r="C1919">
        <v>62</v>
      </c>
    </row>
    <row r="1920" spans="1:3">
      <c r="A1920" t="str">
        <f>"H30054"</f>
        <v>H30054</v>
      </c>
      <c r="B1920" t="s">
        <v>4</v>
      </c>
      <c r="C1920">
        <v>62</v>
      </c>
    </row>
    <row r="1921" spans="1:3">
      <c r="A1921" t="str">
        <f>"H30055"</f>
        <v>H30055</v>
      </c>
      <c r="B1921" t="s">
        <v>4</v>
      </c>
      <c r="C1921">
        <v>62</v>
      </c>
    </row>
    <row r="1922" spans="1:3">
      <c r="A1922" t="str">
        <f>"H30056"</f>
        <v>H30056</v>
      </c>
      <c r="B1922" t="s">
        <v>4</v>
      </c>
      <c r="C1922">
        <v>62</v>
      </c>
    </row>
    <row r="1923" spans="1:3">
      <c r="A1923" t="str">
        <f>"H30057"</f>
        <v>H30057</v>
      </c>
      <c r="B1923" t="s">
        <v>4</v>
      </c>
      <c r="C1923">
        <v>62</v>
      </c>
    </row>
    <row r="1924" spans="1:3">
      <c r="A1924" t="str">
        <f>"H30058"</f>
        <v>H30058</v>
      </c>
      <c r="B1924" t="s">
        <v>4</v>
      </c>
      <c r="C1924">
        <v>62</v>
      </c>
    </row>
    <row r="1925" spans="1:3">
      <c r="A1925" t="str">
        <f>"H30059"</f>
        <v>H30059</v>
      </c>
      <c r="B1925" t="s">
        <v>4</v>
      </c>
      <c r="C1925">
        <v>62</v>
      </c>
    </row>
    <row r="1926" spans="1:3">
      <c r="A1926" t="str">
        <f>"H30060"</f>
        <v>H30060</v>
      </c>
      <c r="B1926" t="s">
        <v>4</v>
      </c>
      <c r="C1926">
        <v>62</v>
      </c>
    </row>
    <row r="1927" spans="1:3">
      <c r="A1927" t="str">
        <f>"H30061"</f>
        <v>H30061</v>
      </c>
      <c r="B1927" t="s">
        <v>4</v>
      </c>
      <c r="C1927">
        <v>62</v>
      </c>
    </row>
    <row r="1928" spans="1:3">
      <c r="A1928" t="str">
        <f>"H30062"</f>
        <v>H30062</v>
      </c>
      <c r="B1928" t="s">
        <v>4</v>
      </c>
      <c r="C1928">
        <v>62</v>
      </c>
    </row>
    <row r="1929" spans="1:3">
      <c r="A1929" t="str">
        <f>"H30063"</f>
        <v>H30063</v>
      </c>
      <c r="B1929" t="s">
        <v>4</v>
      </c>
      <c r="C1929">
        <v>62</v>
      </c>
    </row>
    <row r="1930" spans="1:3">
      <c r="A1930" t="str">
        <f>"H30064"</f>
        <v>H30064</v>
      </c>
      <c r="B1930" t="s">
        <v>4</v>
      </c>
      <c r="C1930">
        <v>62</v>
      </c>
    </row>
    <row r="1931" spans="1:3">
      <c r="A1931" t="str">
        <f>"H30065"</f>
        <v>H30065</v>
      </c>
      <c r="B1931" t="s">
        <v>4</v>
      </c>
      <c r="C1931">
        <v>62</v>
      </c>
    </row>
    <row r="1932" spans="1:3">
      <c r="A1932" t="str">
        <f>"H30066"</f>
        <v>H30066</v>
      </c>
      <c r="B1932" t="s">
        <v>4</v>
      </c>
      <c r="C1932">
        <v>62</v>
      </c>
    </row>
    <row r="1933" spans="1:3">
      <c r="A1933" t="str">
        <f>"H30067"</f>
        <v>H30067</v>
      </c>
      <c r="B1933" t="s">
        <v>4</v>
      </c>
      <c r="C1933">
        <v>62</v>
      </c>
    </row>
    <row r="1934" spans="1:3">
      <c r="A1934" t="str">
        <f>"H30068"</f>
        <v>H30068</v>
      </c>
      <c r="B1934" t="s">
        <v>4</v>
      </c>
      <c r="C1934">
        <v>62</v>
      </c>
    </row>
    <row r="1935" spans="1:3">
      <c r="A1935" t="str">
        <f>"H30069"</f>
        <v>H30069</v>
      </c>
      <c r="B1935" t="s">
        <v>4</v>
      </c>
      <c r="C1935">
        <v>62</v>
      </c>
    </row>
    <row r="1936" spans="1:3">
      <c r="A1936" t="str">
        <f>"H30070"</f>
        <v>H30070</v>
      </c>
      <c r="B1936" t="s">
        <v>4</v>
      </c>
      <c r="C1936">
        <v>62</v>
      </c>
    </row>
    <row r="1937" spans="1:3">
      <c r="A1937" t="str">
        <f>"H30071"</f>
        <v>H30071</v>
      </c>
      <c r="B1937" t="s">
        <v>4</v>
      </c>
      <c r="C1937">
        <v>62</v>
      </c>
    </row>
    <row r="1938" spans="1:3">
      <c r="A1938" t="str">
        <f>"H30072"</f>
        <v>H30072</v>
      </c>
      <c r="B1938" t="s">
        <v>4</v>
      </c>
      <c r="C1938">
        <v>62</v>
      </c>
    </row>
    <row r="1939" spans="1:3">
      <c r="A1939" t="str">
        <f>"H30073"</f>
        <v>H30073</v>
      </c>
      <c r="B1939" t="s">
        <v>4</v>
      </c>
      <c r="C1939">
        <v>62</v>
      </c>
    </row>
    <row r="1940" spans="1:3">
      <c r="A1940" t="str">
        <f>"H30074"</f>
        <v>H30074</v>
      </c>
      <c r="B1940" t="s">
        <v>4</v>
      </c>
      <c r="C1940">
        <v>62</v>
      </c>
    </row>
    <row r="1941" spans="1:3">
      <c r="A1941" t="str">
        <f>"H30075"</f>
        <v>H30075</v>
      </c>
      <c r="B1941" t="s">
        <v>4</v>
      </c>
      <c r="C1941">
        <v>62</v>
      </c>
    </row>
    <row r="1942" spans="1:3">
      <c r="A1942" t="str">
        <f>"H30076"</f>
        <v>H30076</v>
      </c>
      <c r="B1942" t="s">
        <v>4</v>
      </c>
      <c r="C1942">
        <v>62</v>
      </c>
    </row>
    <row r="1943" spans="1:3">
      <c r="A1943" t="str">
        <f>"H30077"</f>
        <v>H30077</v>
      </c>
      <c r="B1943" t="s">
        <v>4</v>
      </c>
      <c r="C1943">
        <v>62</v>
      </c>
    </row>
    <row r="1944" spans="1:3">
      <c r="A1944" t="str">
        <f>"H30078"</f>
        <v>H30078</v>
      </c>
      <c r="B1944" t="s">
        <v>4</v>
      </c>
      <c r="C1944">
        <v>62</v>
      </c>
    </row>
    <row r="1945" spans="1:3">
      <c r="A1945" t="str">
        <f>"H30079"</f>
        <v>H30079</v>
      </c>
      <c r="B1945" t="s">
        <v>4</v>
      </c>
      <c r="C1945">
        <v>62</v>
      </c>
    </row>
    <row r="1946" spans="1:3">
      <c r="A1946" t="str">
        <f>"H30080"</f>
        <v>H30080</v>
      </c>
      <c r="B1946" t="s">
        <v>4</v>
      </c>
      <c r="C1946">
        <v>62</v>
      </c>
    </row>
    <row r="1947" spans="1:3">
      <c r="A1947" t="str">
        <f>"H30081"</f>
        <v>H30081</v>
      </c>
      <c r="B1947" t="s">
        <v>4</v>
      </c>
      <c r="C1947">
        <v>62</v>
      </c>
    </row>
    <row r="1948" spans="1:3">
      <c r="A1948" t="str">
        <f>"H30082"</f>
        <v>H30082</v>
      </c>
      <c r="B1948" t="s">
        <v>4</v>
      </c>
      <c r="C1948">
        <v>62</v>
      </c>
    </row>
    <row r="1949" spans="1:3">
      <c r="A1949" t="str">
        <f>"H30083"</f>
        <v>H30083</v>
      </c>
      <c r="B1949" t="s">
        <v>4</v>
      </c>
      <c r="C1949">
        <v>62</v>
      </c>
    </row>
    <row r="1950" spans="1:3">
      <c r="A1950" t="str">
        <f>"H30084"</f>
        <v>H30084</v>
      </c>
      <c r="B1950" t="s">
        <v>4</v>
      </c>
      <c r="C1950">
        <v>62</v>
      </c>
    </row>
    <row r="1951" spans="1:3">
      <c r="A1951" t="str">
        <f>"H30086"</f>
        <v>H30086</v>
      </c>
      <c r="B1951" t="s">
        <v>4</v>
      </c>
      <c r="C1951">
        <v>62</v>
      </c>
    </row>
    <row r="1952" spans="1:3">
      <c r="A1952" t="str">
        <f>"H30089"</f>
        <v>H30089</v>
      </c>
      <c r="B1952" t="s">
        <v>4</v>
      </c>
      <c r="C1952">
        <v>62</v>
      </c>
    </row>
    <row r="1953" spans="1:3">
      <c r="A1953" t="str">
        <f>"H30090"</f>
        <v>H30090</v>
      </c>
      <c r="B1953" t="s">
        <v>4</v>
      </c>
      <c r="C1953">
        <v>62</v>
      </c>
    </row>
    <row r="1954" spans="1:3">
      <c r="A1954" t="str">
        <f>"H30091"</f>
        <v>H30091</v>
      </c>
      <c r="B1954" t="s">
        <v>4</v>
      </c>
      <c r="C1954">
        <v>62</v>
      </c>
    </row>
    <row r="1955" spans="1:3">
      <c r="A1955" t="str">
        <f>"H30092"</f>
        <v>H30092</v>
      </c>
      <c r="B1955" t="s">
        <v>4</v>
      </c>
      <c r="C1955">
        <v>62</v>
      </c>
    </row>
    <row r="1956" spans="1:3">
      <c r="A1956" t="str">
        <f>"H30093"</f>
        <v>H30093</v>
      </c>
      <c r="B1956" t="s">
        <v>4</v>
      </c>
      <c r="C1956">
        <v>62</v>
      </c>
    </row>
    <row r="1957" spans="1:3">
      <c r="A1957" t="str">
        <f>"H30094"</f>
        <v>H30094</v>
      </c>
      <c r="B1957" t="s">
        <v>4</v>
      </c>
      <c r="C1957">
        <v>62</v>
      </c>
    </row>
    <row r="1958" spans="1:3">
      <c r="A1958" t="str">
        <f>"H30095"</f>
        <v>H30095</v>
      </c>
      <c r="B1958" t="s">
        <v>4</v>
      </c>
      <c r="C1958">
        <v>62</v>
      </c>
    </row>
    <row r="1959" spans="1:3">
      <c r="A1959" t="str">
        <f>"H30096"</f>
        <v>H30096</v>
      </c>
      <c r="B1959" t="s">
        <v>4</v>
      </c>
      <c r="C1959">
        <v>62</v>
      </c>
    </row>
    <row r="1960" spans="1:3">
      <c r="A1960" t="str">
        <f>"H30097"</f>
        <v>H30097</v>
      </c>
      <c r="B1960" t="s">
        <v>4</v>
      </c>
      <c r="C1960">
        <v>62</v>
      </c>
    </row>
    <row r="1961" spans="1:3">
      <c r="A1961" t="str">
        <f>"H30098"</f>
        <v>H30098</v>
      </c>
      <c r="B1961" t="s">
        <v>4</v>
      </c>
      <c r="C1961">
        <v>62</v>
      </c>
    </row>
    <row r="1962" spans="1:3">
      <c r="A1962" t="str">
        <f>"H30099"</f>
        <v>H30099</v>
      </c>
      <c r="B1962" t="s">
        <v>4</v>
      </c>
      <c r="C1962">
        <v>62</v>
      </c>
    </row>
    <row r="1963" spans="1:3">
      <c r="A1963" t="str">
        <f>"H30106"</f>
        <v>H30106</v>
      </c>
      <c r="B1963" t="s">
        <v>4</v>
      </c>
      <c r="C1963">
        <v>62</v>
      </c>
    </row>
    <row r="1964" spans="1:3">
      <c r="A1964" t="str">
        <f>"H30124"</f>
        <v>H30124</v>
      </c>
      <c r="B1964" t="s">
        <v>4</v>
      </c>
      <c r="C1964">
        <v>62</v>
      </c>
    </row>
    <row r="1965" spans="1:3">
      <c r="A1965" t="str">
        <f>"H30137"</f>
        <v>H30137</v>
      </c>
      <c r="B1965" t="s">
        <v>4</v>
      </c>
      <c r="C1965">
        <v>62</v>
      </c>
    </row>
    <row r="1966" spans="1:3">
      <c r="A1966" t="str">
        <f>"H30138"</f>
        <v>H30138</v>
      </c>
      <c r="B1966" t="s">
        <v>4</v>
      </c>
      <c r="C1966">
        <v>62</v>
      </c>
    </row>
    <row r="1967" spans="1:3">
      <c r="A1967" t="str">
        <f>"H30140"</f>
        <v>H30140</v>
      </c>
      <c r="B1967" t="s">
        <v>4</v>
      </c>
      <c r="C1967">
        <v>62</v>
      </c>
    </row>
    <row r="1968" spans="1:3">
      <c r="A1968" t="str">
        <f>"H30141"</f>
        <v>H30141</v>
      </c>
      <c r="B1968" t="s">
        <v>4</v>
      </c>
      <c r="C1968">
        <v>62</v>
      </c>
    </row>
    <row r="1969" spans="1:3">
      <c r="A1969" t="str">
        <f>"H30142"</f>
        <v>H30142</v>
      </c>
      <c r="B1969" t="s">
        <v>4</v>
      </c>
      <c r="C1969">
        <v>62</v>
      </c>
    </row>
    <row r="1970" spans="1:3">
      <c r="A1970" t="str">
        <f>"H30143"</f>
        <v>H30143</v>
      </c>
      <c r="B1970" t="s">
        <v>4</v>
      </c>
      <c r="C1970">
        <v>62</v>
      </c>
    </row>
    <row r="1971" spans="1:3">
      <c r="A1971" t="str">
        <f>"H30164"</f>
        <v>H30164</v>
      </c>
      <c r="B1971" t="s">
        <v>4</v>
      </c>
      <c r="C1971">
        <v>62</v>
      </c>
    </row>
    <row r="1972" spans="1:3">
      <c r="A1972" t="str">
        <f>"H30166"</f>
        <v>H30166</v>
      </c>
      <c r="B1972" t="s">
        <v>4</v>
      </c>
      <c r="C1972">
        <v>62</v>
      </c>
    </row>
    <row r="1973" spans="1:3">
      <c r="A1973" t="str">
        <f>"H30169"</f>
        <v>H30169</v>
      </c>
      <c r="B1973" t="s">
        <v>4</v>
      </c>
      <c r="C1973">
        <v>62</v>
      </c>
    </row>
    <row r="1974" spans="1:3">
      <c r="A1974" t="str">
        <f>"H30170"</f>
        <v>H30170</v>
      </c>
      <c r="B1974" t="s">
        <v>4</v>
      </c>
      <c r="C1974">
        <v>62</v>
      </c>
    </row>
    <row r="1975" spans="1:3">
      <c r="A1975" t="str">
        <f>"H30171"</f>
        <v>H30171</v>
      </c>
      <c r="B1975" t="s">
        <v>4</v>
      </c>
      <c r="C1975">
        <v>62</v>
      </c>
    </row>
    <row r="1976" spans="1:3">
      <c r="A1976" t="str">
        <f>"H30172"</f>
        <v>H30172</v>
      </c>
      <c r="B1976" t="s">
        <v>4</v>
      </c>
      <c r="C1976">
        <v>62</v>
      </c>
    </row>
    <row r="1977" spans="1:3">
      <c r="A1977" t="str">
        <f>"H30173"</f>
        <v>H30173</v>
      </c>
      <c r="B1977" t="s">
        <v>4</v>
      </c>
      <c r="C1977">
        <v>62</v>
      </c>
    </row>
    <row r="1978" spans="1:3">
      <c r="A1978" t="str">
        <f>"H30174"</f>
        <v>H30174</v>
      </c>
      <c r="B1978" t="s">
        <v>4</v>
      </c>
      <c r="C1978">
        <v>62</v>
      </c>
    </row>
    <row r="1979" spans="1:3">
      <c r="A1979" t="str">
        <f>"H30175"</f>
        <v>H30175</v>
      </c>
      <c r="B1979" t="s">
        <v>4</v>
      </c>
      <c r="C1979">
        <v>62</v>
      </c>
    </row>
    <row r="1980" spans="1:3">
      <c r="A1980" t="str">
        <f>"H30176"</f>
        <v>H30176</v>
      </c>
      <c r="B1980" t="s">
        <v>4</v>
      </c>
      <c r="C1980">
        <v>62</v>
      </c>
    </row>
    <row r="1981" spans="1:3">
      <c r="A1981" t="str">
        <f>"H30177"</f>
        <v>H30177</v>
      </c>
      <c r="B1981" t="s">
        <v>4</v>
      </c>
      <c r="C1981">
        <v>62</v>
      </c>
    </row>
    <row r="1982" spans="1:3">
      <c r="A1982" t="str">
        <f>"H30178"</f>
        <v>H30178</v>
      </c>
      <c r="B1982" t="s">
        <v>4</v>
      </c>
      <c r="C1982">
        <v>62</v>
      </c>
    </row>
    <row r="1983" spans="1:3">
      <c r="A1983" t="str">
        <f>"H30179"</f>
        <v>H30179</v>
      </c>
      <c r="B1983" t="s">
        <v>4</v>
      </c>
      <c r="C1983">
        <v>62</v>
      </c>
    </row>
    <row r="1984" spans="1:3">
      <c r="A1984" t="str">
        <f>"H30182"</f>
        <v>H30182</v>
      </c>
      <c r="B1984" t="s">
        <v>4</v>
      </c>
      <c r="C1984">
        <v>62</v>
      </c>
    </row>
    <row r="1985" spans="1:3">
      <c r="A1985" t="str">
        <f>"H30183"</f>
        <v>H30183</v>
      </c>
      <c r="B1985" t="s">
        <v>4</v>
      </c>
      <c r="C1985">
        <v>62</v>
      </c>
    </row>
    <row r="1986" spans="1:3">
      <c r="A1986" t="str">
        <f>"H30184"</f>
        <v>H30184</v>
      </c>
      <c r="B1986" t="s">
        <v>4</v>
      </c>
      <c r="C1986">
        <v>62</v>
      </c>
    </row>
    <row r="1987" spans="1:3">
      <c r="A1987" t="str">
        <f>"H30186"</f>
        <v>H30186</v>
      </c>
      <c r="B1987" t="s">
        <v>4</v>
      </c>
      <c r="C1987">
        <v>62</v>
      </c>
    </row>
    <row r="1988" spans="1:3">
      <c r="A1988" t="str">
        <f>"H30187"</f>
        <v>H30187</v>
      </c>
      <c r="B1988" t="s">
        <v>4</v>
      </c>
      <c r="C1988">
        <v>62</v>
      </c>
    </row>
    <row r="1989" spans="1:3">
      <c r="A1989" t="str">
        <f>"H30190"</f>
        <v>H30190</v>
      </c>
      <c r="B1989" t="s">
        <v>4</v>
      </c>
      <c r="C1989">
        <v>62</v>
      </c>
    </row>
    <row r="1990" spans="1:3">
      <c r="A1990" t="str">
        <f>"H30192"</f>
        <v>H30192</v>
      </c>
      <c r="B1990" t="s">
        <v>4</v>
      </c>
      <c r="C1990">
        <v>62</v>
      </c>
    </row>
    <row r="1991" spans="1:3">
      <c r="A1991" t="str">
        <f>"H30193"</f>
        <v>H30193</v>
      </c>
      <c r="B1991" t="s">
        <v>4</v>
      </c>
      <c r="C1991">
        <v>62</v>
      </c>
    </row>
    <row r="1992" spans="1:3">
      <c r="A1992" t="str">
        <f>"H30195"</f>
        <v>H30195</v>
      </c>
      <c r="B1992" t="s">
        <v>4</v>
      </c>
      <c r="C1992">
        <v>62</v>
      </c>
    </row>
    <row r="1993" spans="1:3">
      <c r="A1993" t="str">
        <f>"H30196"</f>
        <v>H30196</v>
      </c>
      <c r="B1993" t="s">
        <v>4</v>
      </c>
      <c r="C1993">
        <v>62</v>
      </c>
    </row>
    <row r="1994" spans="1:3">
      <c r="A1994" t="str">
        <f>"H30197"</f>
        <v>H30197</v>
      </c>
      <c r="B1994" t="s">
        <v>4</v>
      </c>
      <c r="C1994">
        <v>62</v>
      </c>
    </row>
    <row r="1995" spans="1:3">
      <c r="A1995" t="str">
        <f>"H30198"</f>
        <v>H30198</v>
      </c>
      <c r="B1995" t="s">
        <v>4</v>
      </c>
      <c r="C1995">
        <v>62</v>
      </c>
    </row>
    <row r="1996" spans="1:3">
      <c r="A1996" t="str">
        <f>"H30199"</f>
        <v>H30199</v>
      </c>
      <c r="B1996" t="s">
        <v>4</v>
      </c>
      <c r="C1996">
        <v>62</v>
      </c>
    </row>
    <row r="1997" spans="1:3">
      <c r="A1997" t="str">
        <f>"H30200"</f>
        <v>H30200</v>
      </c>
      <c r="B1997" t="s">
        <v>4</v>
      </c>
      <c r="C1997">
        <v>62</v>
      </c>
    </row>
    <row r="1998" spans="1:3">
      <c r="A1998" t="str">
        <f>"H30201"</f>
        <v>H30201</v>
      </c>
      <c r="B1998" t="s">
        <v>4</v>
      </c>
      <c r="C1998">
        <v>62</v>
      </c>
    </row>
    <row r="1999" spans="1:3">
      <c r="A1999" t="str">
        <f>"H30202"</f>
        <v>H30202</v>
      </c>
      <c r="B1999" t="s">
        <v>4</v>
      </c>
      <c r="C1999">
        <v>62</v>
      </c>
    </row>
    <row r="2000" spans="1:3">
      <c r="A2000" t="str">
        <f>"H30203"</f>
        <v>H30203</v>
      </c>
      <c r="B2000" t="s">
        <v>4</v>
      </c>
      <c r="C2000">
        <v>62</v>
      </c>
    </row>
    <row r="2001" spans="1:3">
      <c r="A2001" t="str">
        <f>"H30204"</f>
        <v>H30204</v>
      </c>
      <c r="B2001" t="s">
        <v>4</v>
      </c>
      <c r="C2001">
        <v>62</v>
      </c>
    </row>
    <row r="2002" spans="1:3">
      <c r="A2002" t="str">
        <f>"H30205"</f>
        <v>H30205</v>
      </c>
      <c r="B2002" t="s">
        <v>4</v>
      </c>
      <c r="C2002">
        <v>62</v>
      </c>
    </row>
    <row r="2003" spans="1:3">
      <c r="A2003" t="str">
        <f>"H30206"</f>
        <v>H30206</v>
      </c>
      <c r="B2003" t="s">
        <v>4</v>
      </c>
      <c r="C2003">
        <v>62</v>
      </c>
    </row>
    <row r="2004" spans="1:3">
      <c r="A2004" t="str">
        <f>"H30207"</f>
        <v>H30207</v>
      </c>
      <c r="B2004" t="s">
        <v>4</v>
      </c>
      <c r="C2004">
        <v>62</v>
      </c>
    </row>
    <row r="2005" spans="1:3">
      <c r="A2005" t="str">
        <f>"H30208"</f>
        <v>H30208</v>
      </c>
      <c r="B2005" t="s">
        <v>4</v>
      </c>
      <c r="C2005">
        <v>62</v>
      </c>
    </row>
    <row r="2006" spans="1:3">
      <c r="A2006" t="str">
        <f>"H30209"</f>
        <v>H30209</v>
      </c>
      <c r="B2006" t="s">
        <v>4</v>
      </c>
      <c r="C2006">
        <v>62</v>
      </c>
    </row>
    <row r="2007" spans="1:3">
      <c r="A2007" t="str">
        <f>"H30211"</f>
        <v>H30211</v>
      </c>
      <c r="B2007" t="s">
        <v>4</v>
      </c>
      <c r="C2007">
        <v>62</v>
      </c>
    </row>
    <row r="2008" spans="1:3">
      <c r="A2008" t="str">
        <f>"H30213"</f>
        <v>H30213</v>
      </c>
      <c r="B2008" t="s">
        <v>4</v>
      </c>
      <c r="C2008">
        <v>62</v>
      </c>
    </row>
    <row r="2009" spans="1:3">
      <c r="A2009" t="str">
        <f>"H30214"</f>
        <v>H30214</v>
      </c>
      <c r="B2009" t="s">
        <v>4</v>
      </c>
      <c r="C2009">
        <v>62</v>
      </c>
    </row>
    <row r="2010" spans="1:3">
      <c r="A2010" t="str">
        <f>"H30215"</f>
        <v>H30215</v>
      </c>
      <c r="B2010" t="s">
        <v>4</v>
      </c>
      <c r="C2010">
        <v>62</v>
      </c>
    </row>
    <row r="2011" spans="1:3">
      <c r="A2011" t="str">
        <f>"H30216"</f>
        <v>H30216</v>
      </c>
      <c r="B2011" t="s">
        <v>4</v>
      </c>
      <c r="C2011">
        <v>62</v>
      </c>
    </row>
    <row r="2012" spans="1:3">
      <c r="A2012" t="str">
        <f>"H30217"</f>
        <v>H30217</v>
      </c>
      <c r="B2012" t="s">
        <v>4</v>
      </c>
      <c r="C2012">
        <v>62</v>
      </c>
    </row>
    <row r="2013" spans="1:3">
      <c r="A2013" t="str">
        <f>"H30218"</f>
        <v>H30218</v>
      </c>
      <c r="B2013" t="s">
        <v>4</v>
      </c>
      <c r="C2013">
        <v>62</v>
      </c>
    </row>
    <row r="2014" spans="1:3">
      <c r="A2014" t="str">
        <f>"H30219"</f>
        <v>H30219</v>
      </c>
      <c r="B2014" t="s">
        <v>4</v>
      </c>
      <c r="C2014">
        <v>62</v>
      </c>
    </row>
    <row r="2015" spans="1:3">
      <c r="A2015" t="str">
        <f>"H30220"</f>
        <v>H30220</v>
      </c>
      <c r="B2015" t="s">
        <v>4</v>
      </c>
      <c r="C2015">
        <v>62</v>
      </c>
    </row>
    <row r="2016" spans="1:3">
      <c r="A2016" t="str">
        <f>"H30221"</f>
        <v>H30221</v>
      </c>
      <c r="B2016" t="s">
        <v>4</v>
      </c>
      <c r="C2016">
        <v>62</v>
      </c>
    </row>
    <row r="2017" spans="1:3">
      <c r="A2017" t="str">
        <f>"H30222"</f>
        <v>H30222</v>
      </c>
      <c r="B2017" t="s">
        <v>4</v>
      </c>
      <c r="C2017">
        <v>62</v>
      </c>
    </row>
    <row r="2018" spans="1:3">
      <c r="A2018" t="str">
        <f>"H30223"</f>
        <v>H30223</v>
      </c>
      <c r="B2018" t="s">
        <v>4</v>
      </c>
      <c r="C2018">
        <v>62</v>
      </c>
    </row>
    <row r="2019" spans="1:3">
      <c r="A2019" t="str">
        <f>"H30224"</f>
        <v>H30224</v>
      </c>
      <c r="B2019" t="s">
        <v>4</v>
      </c>
      <c r="C2019">
        <v>62</v>
      </c>
    </row>
    <row r="2020" spans="1:3">
      <c r="A2020" t="str">
        <f>"H30225"</f>
        <v>H30225</v>
      </c>
      <c r="B2020" t="s">
        <v>4</v>
      </c>
      <c r="C2020">
        <v>62</v>
      </c>
    </row>
    <row r="2021" spans="1:3">
      <c r="A2021" t="str">
        <f>"H30226"</f>
        <v>H30226</v>
      </c>
      <c r="B2021" t="s">
        <v>4</v>
      </c>
      <c r="C2021">
        <v>62</v>
      </c>
    </row>
    <row r="2022" spans="1:3">
      <c r="A2022" t="str">
        <f>"H30227"</f>
        <v>H30227</v>
      </c>
      <c r="B2022" t="s">
        <v>4</v>
      </c>
      <c r="C2022">
        <v>62</v>
      </c>
    </row>
    <row r="2023" spans="1:3">
      <c r="A2023" t="str">
        <f>"H30228"</f>
        <v>H30228</v>
      </c>
      <c r="B2023" t="s">
        <v>4</v>
      </c>
      <c r="C2023">
        <v>62</v>
      </c>
    </row>
    <row r="2024" spans="1:3">
      <c r="A2024" t="str">
        <f>"H30250"</f>
        <v>H30250</v>
      </c>
      <c r="B2024" t="s">
        <v>4</v>
      </c>
      <c r="C2024">
        <v>62</v>
      </c>
    </row>
    <row r="2025" spans="1:3">
      <c r="A2025" t="str">
        <f>"H30251"</f>
        <v>H30251</v>
      </c>
      <c r="B2025" t="s">
        <v>4</v>
      </c>
      <c r="C2025">
        <v>62</v>
      </c>
    </row>
    <row r="2026" spans="1:3">
      <c r="A2026" t="str">
        <f>"H30252"</f>
        <v>H30252</v>
      </c>
      <c r="B2026" t="s">
        <v>4</v>
      </c>
      <c r="C2026">
        <v>62</v>
      </c>
    </row>
    <row r="2027" spans="1:3">
      <c r="A2027" t="str">
        <f>"H30253"</f>
        <v>H30253</v>
      </c>
      <c r="B2027" t="s">
        <v>4</v>
      </c>
      <c r="C2027">
        <v>62</v>
      </c>
    </row>
    <row r="2028" spans="1:3">
      <c r="A2028" t="str">
        <f>"H30254"</f>
        <v>H30254</v>
      </c>
      <c r="B2028" t="s">
        <v>4</v>
      </c>
      <c r="C2028">
        <v>62</v>
      </c>
    </row>
    <row r="2029" spans="1:3">
      <c r="A2029" t="str">
        <f>"H30255"</f>
        <v>H30255</v>
      </c>
      <c r="B2029" t="s">
        <v>4</v>
      </c>
      <c r="C2029">
        <v>62</v>
      </c>
    </row>
    <row r="2030" spans="1:3">
      <c r="A2030" t="str">
        <f>"H30256"</f>
        <v>H30256</v>
      </c>
      <c r="B2030" t="s">
        <v>4</v>
      </c>
      <c r="C2030">
        <v>62</v>
      </c>
    </row>
    <row r="2031" spans="1:3">
      <c r="A2031" t="str">
        <f>"H30257"</f>
        <v>H30257</v>
      </c>
      <c r="B2031" t="s">
        <v>4</v>
      </c>
      <c r="C2031">
        <v>62</v>
      </c>
    </row>
    <row r="2032" spans="1:3">
      <c r="A2032" t="str">
        <f>"H30258"</f>
        <v>H30258</v>
      </c>
      <c r="B2032" t="s">
        <v>4</v>
      </c>
      <c r="C2032">
        <v>62</v>
      </c>
    </row>
    <row r="2033" spans="1:3">
      <c r="A2033" t="str">
        <f>"H30259"</f>
        <v>H30259</v>
      </c>
      <c r="B2033" t="s">
        <v>4</v>
      </c>
      <c r="C2033">
        <v>62</v>
      </c>
    </row>
    <row r="2034" spans="1:3">
      <c r="A2034" t="str">
        <f>"H30263"</f>
        <v>H30263</v>
      </c>
      <c r="B2034" t="s">
        <v>4</v>
      </c>
      <c r="C2034">
        <v>62</v>
      </c>
    </row>
    <row r="2035" spans="1:3">
      <c r="A2035" t="str">
        <f>"H30267"</f>
        <v>H30267</v>
      </c>
      <c r="B2035" t="s">
        <v>4</v>
      </c>
      <c r="C2035">
        <v>62</v>
      </c>
    </row>
    <row r="2036" spans="1:3">
      <c r="A2036" t="str">
        <f>"H30269"</f>
        <v>H30269</v>
      </c>
      <c r="B2036" t="s">
        <v>4</v>
      </c>
      <c r="C2036">
        <v>62</v>
      </c>
    </row>
    <row r="2037" spans="1:3">
      <c r="A2037" t="str">
        <f>"H30270"</f>
        <v>H30270</v>
      </c>
      <c r="B2037" t="s">
        <v>4</v>
      </c>
      <c r="C2037">
        <v>62</v>
      </c>
    </row>
    <row r="2038" spans="1:3">
      <c r="A2038" t="str">
        <f>"H30318"</f>
        <v>H30318</v>
      </c>
      <c r="B2038" t="s">
        <v>4</v>
      </c>
      <c r="C2038">
        <v>62</v>
      </c>
    </row>
    <row r="2039" spans="1:3">
      <c r="A2039" t="str">
        <f>"H30332"</f>
        <v>H30332</v>
      </c>
      <c r="B2039" t="s">
        <v>4</v>
      </c>
      <c r="C2039">
        <v>62</v>
      </c>
    </row>
    <row r="2040" spans="1:3">
      <c r="A2040" t="str">
        <f>"H30344"</f>
        <v>H30344</v>
      </c>
      <c r="B2040" t="s">
        <v>4</v>
      </c>
      <c r="C2040">
        <v>62</v>
      </c>
    </row>
    <row r="2041" spans="1:3">
      <c r="A2041" t="str">
        <f>"H30351"</f>
        <v>H30351</v>
      </c>
      <c r="B2041" t="s">
        <v>4</v>
      </c>
      <c r="C2041">
        <v>62</v>
      </c>
    </row>
    <row r="2042" spans="1:3">
      <c r="A2042" t="str">
        <f>"H30352"</f>
        <v>H30352</v>
      </c>
      <c r="B2042" t="s">
        <v>4</v>
      </c>
      <c r="C2042">
        <v>62</v>
      </c>
    </row>
    <row r="2043" spans="1:3">
      <c r="A2043" t="str">
        <f>"H30353"</f>
        <v>H30353</v>
      </c>
      <c r="B2043" t="s">
        <v>4</v>
      </c>
      <c r="C2043">
        <v>62</v>
      </c>
    </row>
    <row r="2044" spans="1:3">
      <c r="A2044" t="str">
        <f>"H30354"</f>
        <v>H30354</v>
      </c>
      <c r="B2044" t="s">
        <v>4</v>
      </c>
      <c r="C2044">
        <v>62</v>
      </c>
    </row>
    <row r="2045" spans="1:3">
      <c r="A2045" t="str">
        <f>"H30355"</f>
        <v>H30355</v>
      </c>
      <c r="B2045" t="s">
        <v>4</v>
      </c>
      <c r="C2045">
        <v>62</v>
      </c>
    </row>
    <row r="2046" spans="1:3">
      <c r="A2046" t="str">
        <f>"H30356"</f>
        <v>H30356</v>
      </c>
      <c r="B2046" t="s">
        <v>4</v>
      </c>
      <c r="C2046">
        <v>62</v>
      </c>
    </row>
    <row r="2047" spans="1:3">
      <c r="A2047" t="str">
        <f>"H30357"</f>
        <v>H30357</v>
      </c>
      <c r="B2047" t="s">
        <v>4</v>
      </c>
      <c r="C2047">
        <v>62</v>
      </c>
    </row>
    <row r="2048" spans="1:3">
      <c r="A2048" t="str">
        <f>"H30358"</f>
        <v>H30358</v>
      </c>
      <c r="B2048" t="s">
        <v>4</v>
      </c>
      <c r="C2048">
        <v>62</v>
      </c>
    </row>
    <row r="2049" spans="1:3">
      <c r="A2049" t="str">
        <f>"H30359"</f>
        <v>H30359</v>
      </c>
      <c r="B2049" t="s">
        <v>4</v>
      </c>
      <c r="C2049">
        <v>62</v>
      </c>
    </row>
    <row r="2050" spans="1:3">
      <c r="A2050" t="str">
        <f>"H30362"</f>
        <v>H30362</v>
      </c>
      <c r="B2050" t="s">
        <v>4</v>
      </c>
      <c r="C2050">
        <v>62</v>
      </c>
    </row>
    <row r="2051" spans="1:3">
      <c r="A2051" t="str">
        <f>"H30363"</f>
        <v>H30363</v>
      </c>
      <c r="B2051" t="s">
        <v>4</v>
      </c>
      <c r="C2051">
        <v>62</v>
      </c>
    </row>
    <row r="2052" spans="1:3">
      <c r="A2052" t="str">
        <f>"H30365"</f>
        <v>H30365</v>
      </c>
      <c r="B2052" t="s">
        <v>4</v>
      </c>
      <c r="C2052">
        <v>62</v>
      </c>
    </row>
    <row r="2053" spans="1:3">
      <c r="A2053" t="str">
        <f>"H30366"</f>
        <v>H30366</v>
      </c>
      <c r="B2053" t="s">
        <v>4</v>
      </c>
      <c r="C2053">
        <v>62</v>
      </c>
    </row>
    <row r="2054" spans="1:3">
      <c r="A2054" t="str">
        <f>"H30368"</f>
        <v>H30368</v>
      </c>
      <c r="B2054" t="s">
        <v>4</v>
      </c>
      <c r="C2054">
        <v>62</v>
      </c>
    </row>
    <row r="2055" spans="1:3">
      <c r="A2055" t="str">
        <f>"H30372"</f>
        <v>H30372</v>
      </c>
      <c r="B2055" t="s">
        <v>4</v>
      </c>
      <c r="C2055">
        <v>62</v>
      </c>
    </row>
    <row r="2056" spans="1:3">
      <c r="A2056" t="str">
        <f>"H30373"</f>
        <v>H30373</v>
      </c>
      <c r="B2056" t="s">
        <v>4</v>
      </c>
      <c r="C2056">
        <v>62</v>
      </c>
    </row>
    <row r="2057" spans="1:3">
      <c r="A2057" t="str">
        <f>"H30396"</f>
        <v>H30396</v>
      </c>
      <c r="B2057" t="s">
        <v>4</v>
      </c>
      <c r="C2057">
        <v>62</v>
      </c>
    </row>
    <row r="2058" spans="1:3">
      <c r="A2058" t="str">
        <f>"H30398"</f>
        <v>H30398</v>
      </c>
      <c r="B2058" t="s">
        <v>4</v>
      </c>
      <c r="C2058">
        <v>62</v>
      </c>
    </row>
    <row r="2059" spans="1:3">
      <c r="A2059" t="str">
        <f>"H30403"</f>
        <v>H30403</v>
      </c>
      <c r="B2059" t="s">
        <v>4</v>
      </c>
      <c r="C2059">
        <v>62</v>
      </c>
    </row>
    <row r="2060" spans="1:3">
      <c r="A2060" t="str">
        <f>"H30404"</f>
        <v>H30404</v>
      </c>
      <c r="B2060" t="s">
        <v>4</v>
      </c>
      <c r="C2060">
        <v>62</v>
      </c>
    </row>
    <row r="2061" spans="1:3">
      <c r="A2061" t="str">
        <f>"H30439"</f>
        <v>H30439</v>
      </c>
      <c r="B2061" t="s">
        <v>4</v>
      </c>
      <c r="C2061">
        <v>62</v>
      </c>
    </row>
    <row r="2062" spans="1:3">
      <c r="A2062" t="str">
        <f>"H30440"</f>
        <v>H30440</v>
      </c>
      <c r="B2062" t="s">
        <v>4</v>
      </c>
      <c r="C2062">
        <v>62</v>
      </c>
    </row>
    <row r="2063" spans="1:3">
      <c r="A2063" t="str">
        <f>"H30441"</f>
        <v>H30441</v>
      </c>
      <c r="B2063" t="s">
        <v>4</v>
      </c>
      <c r="C2063">
        <v>62</v>
      </c>
    </row>
    <row r="2064" spans="1:3">
      <c r="A2064" t="str">
        <f>"H30442"</f>
        <v>H30442</v>
      </c>
      <c r="B2064" t="s">
        <v>4</v>
      </c>
      <c r="C2064">
        <v>62</v>
      </c>
    </row>
    <row r="2065" spans="1:3">
      <c r="A2065" t="str">
        <f>"H30443"</f>
        <v>H30443</v>
      </c>
      <c r="B2065" t="s">
        <v>4</v>
      </c>
      <c r="C2065">
        <v>62</v>
      </c>
    </row>
    <row r="2066" spans="1:3">
      <c r="A2066" t="str">
        <f>"H30444"</f>
        <v>H30444</v>
      </c>
      <c r="B2066" t="s">
        <v>4</v>
      </c>
      <c r="C2066">
        <v>62</v>
      </c>
    </row>
    <row r="2067" spans="1:3">
      <c r="A2067" t="str">
        <f>"H30445"</f>
        <v>H30445</v>
      </c>
      <c r="B2067" t="s">
        <v>4</v>
      </c>
      <c r="C2067">
        <v>62</v>
      </c>
    </row>
    <row r="2068" spans="1:3">
      <c r="A2068" t="str">
        <f>"H30446"</f>
        <v>H30446</v>
      </c>
      <c r="B2068" t="s">
        <v>4</v>
      </c>
      <c r="C2068">
        <v>62</v>
      </c>
    </row>
    <row r="2069" spans="1:3">
      <c r="A2069" t="str">
        <f>"H30447"</f>
        <v>H30447</v>
      </c>
      <c r="B2069" t="s">
        <v>4</v>
      </c>
      <c r="C2069">
        <v>62</v>
      </c>
    </row>
    <row r="2070" spans="1:3">
      <c r="A2070" t="str">
        <f>"H30448"</f>
        <v>H30448</v>
      </c>
      <c r="B2070" t="s">
        <v>4</v>
      </c>
      <c r="C2070">
        <v>62</v>
      </c>
    </row>
    <row r="2071" spans="1:3">
      <c r="A2071" t="str">
        <f>"H30455"</f>
        <v>H30455</v>
      </c>
      <c r="B2071" t="s">
        <v>4</v>
      </c>
      <c r="C2071">
        <v>62</v>
      </c>
    </row>
    <row r="2072" spans="1:3">
      <c r="A2072" t="str">
        <f>"H30463"</f>
        <v>H30463</v>
      </c>
      <c r="B2072" t="s">
        <v>4</v>
      </c>
      <c r="C2072">
        <v>62</v>
      </c>
    </row>
    <row r="2073" spans="1:3">
      <c r="A2073" t="str">
        <f>"H30521"</f>
        <v>H30521</v>
      </c>
      <c r="B2073" t="s">
        <v>4</v>
      </c>
      <c r="C2073">
        <v>62</v>
      </c>
    </row>
    <row r="2074" spans="1:3">
      <c r="A2074" t="str">
        <f>"H30527"</f>
        <v>H30527</v>
      </c>
      <c r="B2074" t="s">
        <v>4</v>
      </c>
      <c r="C2074">
        <v>62</v>
      </c>
    </row>
    <row r="2075" spans="1:3">
      <c r="A2075" t="str">
        <f>"H30528"</f>
        <v>H30528</v>
      </c>
      <c r="B2075" t="s">
        <v>4</v>
      </c>
      <c r="C2075">
        <v>62</v>
      </c>
    </row>
    <row r="2076" spans="1:3">
      <c r="A2076" t="str">
        <f>"H30529"</f>
        <v>H30529</v>
      </c>
      <c r="B2076" t="s">
        <v>4</v>
      </c>
      <c r="C2076">
        <v>62</v>
      </c>
    </row>
    <row r="2077" spans="1:3">
      <c r="A2077" t="str">
        <f>"H30530"</f>
        <v>H30530</v>
      </c>
      <c r="B2077" t="s">
        <v>4</v>
      </c>
      <c r="C2077">
        <v>62</v>
      </c>
    </row>
    <row r="2078" spans="1:3">
      <c r="A2078" t="str">
        <f>"H30531"</f>
        <v>H30531</v>
      </c>
      <c r="B2078" t="s">
        <v>4</v>
      </c>
      <c r="C2078">
        <v>62</v>
      </c>
    </row>
    <row r="2079" spans="1:3">
      <c r="A2079" t="str">
        <f>"H30532"</f>
        <v>H30532</v>
      </c>
      <c r="B2079" t="s">
        <v>4</v>
      </c>
      <c r="C2079">
        <v>62</v>
      </c>
    </row>
    <row r="2080" spans="1:3">
      <c r="A2080" t="str">
        <f>"H30533"</f>
        <v>H30533</v>
      </c>
      <c r="B2080" t="s">
        <v>4</v>
      </c>
      <c r="C2080">
        <v>62</v>
      </c>
    </row>
    <row r="2081" spans="1:3">
      <c r="A2081" t="str">
        <f>"H30535"</f>
        <v>H30535</v>
      </c>
      <c r="B2081" t="s">
        <v>4</v>
      </c>
      <c r="C2081">
        <v>62</v>
      </c>
    </row>
    <row r="2082" spans="1:3">
      <c r="A2082" t="str">
        <f>"H30537"</f>
        <v>H30537</v>
      </c>
      <c r="B2082" t="s">
        <v>4</v>
      </c>
      <c r="C2082">
        <v>62</v>
      </c>
    </row>
    <row r="2083" spans="1:3">
      <c r="A2083" t="str">
        <f>"H30552"</f>
        <v>H30552</v>
      </c>
      <c r="B2083" t="s">
        <v>4</v>
      </c>
      <c r="C2083">
        <v>62</v>
      </c>
    </row>
    <row r="2084" spans="1:3">
      <c r="A2084" t="str">
        <f>"H30588"</f>
        <v>H30588</v>
      </c>
      <c r="B2084" t="s">
        <v>4</v>
      </c>
      <c r="C2084">
        <v>62</v>
      </c>
    </row>
    <row r="2085" spans="1:3">
      <c r="A2085" t="str">
        <f>"H30590"</f>
        <v>H30590</v>
      </c>
      <c r="B2085" t="s">
        <v>4</v>
      </c>
      <c r="C2085">
        <v>62</v>
      </c>
    </row>
    <row r="2086" spans="1:3">
      <c r="A2086" t="str">
        <f>"H30597"</f>
        <v>H30597</v>
      </c>
      <c r="B2086" t="s">
        <v>4</v>
      </c>
      <c r="C2086">
        <v>62</v>
      </c>
    </row>
    <row r="2087" spans="1:3">
      <c r="A2087" t="str">
        <f>"H40019"</f>
        <v>H40019</v>
      </c>
      <c r="B2087" t="s">
        <v>4</v>
      </c>
      <c r="C2087">
        <v>62</v>
      </c>
    </row>
    <row r="2088" spans="1:3">
      <c r="A2088" t="str">
        <f>"H40020"</f>
        <v>H40020</v>
      </c>
      <c r="B2088" t="s">
        <v>4</v>
      </c>
      <c r="C2088">
        <v>62</v>
      </c>
    </row>
    <row r="2089" spans="1:3">
      <c r="A2089" t="str">
        <f>"H40021"</f>
        <v>H40021</v>
      </c>
      <c r="B2089" t="s">
        <v>4</v>
      </c>
      <c r="C2089">
        <v>62</v>
      </c>
    </row>
    <row r="2090" spans="1:3">
      <c r="A2090" t="str">
        <f>"H40022"</f>
        <v>H40022</v>
      </c>
      <c r="B2090" t="s">
        <v>4</v>
      </c>
      <c r="C2090">
        <v>62</v>
      </c>
    </row>
    <row r="2091" spans="1:3">
      <c r="A2091" t="str">
        <f>"H40023"</f>
        <v>H40023</v>
      </c>
      <c r="B2091" t="s">
        <v>4</v>
      </c>
      <c r="C2091">
        <v>62</v>
      </c>
    </row>
    <row r="2092" spans="1:3">
      <c r="A2092" t="str">
        <f>"H40024"</f>
        <v>H40024</v>
      </c>
      <c r="B2092" t="s">
        <v>4</v>
      </c>
      <c r="C2092">
        <v>62</v>
      </c>
    </row>
    <row r="2093" spans="1:3">
      <c r="A2093" t="str">
        <f>"H40025"</f>
        <v>H40025</v>
      </c>
      <c r="B2093" t="s">
        <v>4</v>
      </c>
      <c r="C2093">
        <v>62</v>
      </c>
    </row>
    <row r="2094" spans="1:3">
      <c r="A2094" t="str">
        <f>"H40026"</f>
        <v>H40026</v>
      </c>
      <c r="B2094" t="s">
        <v>4</v>
      </c>
      <c r="C2094">
        <v>62</v>
      </c>
    </row>
    <row r="2095" spans="1:3">
      <c r="A2095" t="str">
        <f>"H40027"</f>
        <v>H40027</v>
      </c>
      <c r="B2095" t="s">
        <v>4</v>
      </c>
      <c r="C2095">
        <v>62</v>
      </c>
    </row>
    <row r="2096" spans="1:3">
      <c r="A2096" t="str">
        <f>"H40028"</f>
        <v>H40028</v>
      </c>
      <c r="B2096" t="s">
        <v>4</v>
      </c>
      <c r="C2096">
        <v>62</v>
      </c>
    </row>
    <row r="2097" spans="1:3">
      <c r="A2097" t="str">
        <f>"H40029"</f>
        <v>H40029</v>
      </c>
      <c r="B2097" t="s">
        <v>4</v>
      </c>
      <c r="C2097">
        <v>62</v>
      </c>
    </row>
    <row r="2098" spans="1:3">
      <c r="A2098" t="str">
        <f>"H40030"</f>
        <v>H40030</v>
      </c>
      <c r="B2098" t="s">
        <v>4</v>
      </c>
      <c r="C2098">
        <v>62</v>
      </c>
    </row>
    <row r="2099" spans="1:3">
      <c r="A2099" t="str">
        <f>"H40040"</f>
        <v>H40040</v>
      </c>
      <c r="B2099" t="s">
        <v>4</v>
      </c>
      <c r="C2099">
        <v>62</v>
      </c>
    </row>
    <row r="2100" spans="1:3">
      <c r="A2100" t="str">
        <f>"H40042"</f>
        <v>H40042</v>
      </c>
      <c r="B2100" t="s">
        <v>4</v>
      </c>
      <c r="C2100">
        <v>62</v>
      </c>
    </row>
    <row r="2101" spans="1:3">
      <c r="A2101" t="str">
        <f>"H40050"</f>
        <v>H40050</v>
      </c>
      <c r="B2101" t="s">
        <v>4</v>
      </c>
      <c r="C2101">
        <v>62</v>
      </c>
    </row>
    <row r="2102" spans="1:3">
      <c r="A2102" t="str">
        <f>"H40100"</f>
        <v>H40100</v>
      </c>
      <c r="B2102" t="s">
        <v>4</v>
      </c>
      <c r="C2102">
        <v>62</v>
      </c>
    </row>
    <row r="2103" spans="1:3">
      <c r="A2103" t="str">
        <f>"H50001"</f>
        <v>H50001</v>
      </c>
      <c r="B2103" t="s">
        <v>4</v>
      </c>
      <c r="C2103">
        <v>62</v>
      </c>
    </row>
    <row r="2104" spans="1:3">
      <c r="A2104" t="str">
        <f>"H50002"</f>
        <v>H50002</v>
      </c>
      <c r="B2104" t="s">
        <v>4</v>
      </c>
      <c r="C2104">
        <v>62</v>
      </c>
    </row>
    <row r="2105" spans="1:3">
      <c r="A2105" t="str">
        <f>"H50003"</f>
        <v>H50003</v>
      </c>
      <c r="B2105" t="s">
        <v>4</v>
      </c>
      <c r="C2105">
        <v>62</v>
      </c>
    </row>
    <row r="2106" spans="1:3">
      <c r="A2106" t="str">
        <f>"H50004"</f>
        <v>H50004</v>
      </c>
      <c r="B2106" t="s">
        <v>4</v>
      </c>
      <c r="C2106">
        <v>62</v>
      </c>
    </row>
    <row r="2107" spans="1:3">
      <c r="A2107" t="str">
        <f>"H50005"</f>
        <v>H50005</v>
      </c>
      <c r="B2107" t="s">
        <v>4</v>
      </c>
      <c r="C2107">
        <v>62</v>
      </c>
    </row>
    <row r="2108" spans="1:3">
      <c r="A2108" t="str">
        <f>"H50006"</f>
        <v>H50006</v>
      </c>
      <c r="B2108" t="s">
        <v>4</v>
      </c>
      <c r="C2108">
        <v>62</v>
      </c>
    </row>
    <row r="2109" spans="1:3">
      <c r="A2109" t="str">
        <f>"H50007"</f>
        <v>H50007</v>
      </c>
      <c r="B2109" t="s">
        <v>4</v>
      </c>
      <c r="C2109">
        <v>62</v>
      </c>
    </row>
    <row r="2110" spans="1:3">
      <c r="A2110" t="str">
        <f>"H50008"</f>
        <v>H50008</v>
      </c>
      <c r="B2110" t="s">
        <v>4</v>
      </c>
      <c r="C2110">
        <v>62</v>
      </c>
    </row>
    <row r="2111" spans="1:3">
      <c r="A2111" t="str">
        <f>"H50009"</f>
        <v>H50009</v>
      </c>
      <c r="B2111" t="s">
        <v>4</v>
      </c>
      <c r="C2111">
        <v>62</v>
      </c>
    </row>
    <row r="2112" spans="1:3">
      <c r="A2112" t="str">
        <f>"H50010"</f>
        <v>H50010</v>
      </c>
      <c r="B2112" t="s">
        <v>4</v>
      </c>
      <c r="C2112">
        <v>62</v>
      </c>
    </row>
    <row r="2113" spans="1:3">
      <c r="A2113" t="str">
        <f>"H50011"</f>
        <v>H50011</v>
      </c>
      <c r="B2113" t="s">
        <v>4</v>
      </c>
      <c r="C2113">
        <v>62</v>
      </c>
    </row>
    <row r="2114" spans="1:3">
      <c r="A2114" t="str">
        <f>"H50012"</f>
        <v>H50012</v>
      </c>
      <c r="B2114" t="s">
        <v>4</v>
      </c>
      <c r="C2114">
        <v>62</v>
      </c>
    </row>
    <row r="2115" spans="1:3">
      <c r="A2115" t="str">
        <f>"H50013"</f>
        <v>H50013</v>
      </c>
      <c r="B2115" t="s">
        <v>4</v>
      </c>
      <c r="C2115">
        <v>62</v>
      </c>
    </row>
    <row r="2116" spans="1:3">
      <c r="A2116" t="str">
        <f>"H50014"</f>
        <v>H50014</v>
      </c>
      <c r="B2116" t="s">
        <v>4</v>
      </c>
      <c r="C2116">
        <v>62</v>
      </c>
    </row>
    <row r="2117" spans="1:3">
      <c r="A2117" t="str">
        <f>"H50015"</f>
        <v>H50015</v>
      </c>
      <c r="B2117" t="s">
        <v>4</v>
      </c>
      <c r="C2117">
        <v>62</v>
      </c>
    </row>
    <row r="2118" spans="1:3">
      <c r="A2118" t="str">
        <f>"H50016"</f>
        <v>H50016</v>
      </c>
      <c r="B2118" t="s">
        <v>4</v>
      </c>
      <c r="C2118">
        <v>62</v>
      </c>
    </row>
    <row r="2119" spans="1:3">
      <c r="A2119" t="str">
        <f>"H50017"</f>
        <v>H50017</v>
      </c>
      <c r="B2119" t="s">
        <v>4</v>
      </c>
      <c r="C2119">
        <v>62</v>
      </c>
    </row>
    <row r="2120" spans="1:3">
      <c r="A2120" t="str">
        <f>"H50018"</f>
        <v>H50018</v>
      </c>
      <c r="B2120" t="s">
        <v>4</v>
      </c>
      <c r="C2120">
        <v>62</v>
      </c>
    </row>
    <row r="2121" spans="1:3">
      <c r="A2121" t="str">
        <f>"H50019"</f>
        <v>H50019</v>
      </c>
      <c r="B2121" t="s">
        <v>4</v>
      </c>
      <c r="C2121">
        <v>62</v>
      </c>
    </row>
    <row r="2122" spans="1:3">
      <c r="A2122" t="str">
        <f>"H50020"</f>
        <v>H50020</v>
      </c>
      <c r="B2122" t="s">
        <v>4</v>
      </c>
      <c r="C2122">
        <v>62</v>
      </c>
    </row>
    <row r="2123" spans="1:3">
      <c r="A2123" t="str">
        <f>"H50021"</f>
        <v>H50021</v>
      </c>
      <c r="B2123" t="s">
        <v>4</v>
      </c>
      <c r="C2123">
        <v>62</v>
      </c>
    </row>
    <row r="2124" spans="1:3">
      <c r="A2124" t="str">
        <f>"H50022"</f>
        <v>H50022</v>
      </c>
      <c r="B2124" t="s">
        <v>4</v>
      </c>
      <c r="C2124">
        <v>62</v>
      </c>
    </row>
    <row r="2125" spans="1:3">
      <c r="A2125" t="str">
        <f>"H50023"</f>
        <v>H50023</v>
      </c>
      <c r="B2125" t="s">
        <v>4</v>
      </c>
      <c r="C2125">
        <v>62</v>
      </c>
    </row>
    <row r="2126" spans="1:3">
      <c r="A2126" t="str">
        <f>"H50024"</f>
        <v>H50024</v>
      </c>
      <c r="B2126" t="s">
        <v>4</v>
      </c>
      <c r="C2126">
        <v>62</v>
      </c>
    </row>
    <row r="2127" spans="1:3">
      <c r="A2127" t="str">
        <f>"H50025"</f>
        <v>H50025</v>
      </c>
      <c r="B2127" t="s">
        <v>4</v>
      </c>
      <c r="C2127">
        <v>62</v>
      </c>
    </row>
    <row r="2128" spans="1:3">
      <c r="A2128" t="str">
        <f>"H50026"</f>
        <v>H50026</v>
      </c>
      <c r="B2128" t="s">
        <v>4</v>
      </c>
      <c r="C2128">
        <v>62</v>
      </c>
    </row>
    <row r="2129" spans="1:3">
      <c r="A2129" t="str">
        <f>"H50027"</f>
        <v>H50027</v>
      </c>
      <c r="B2129" t="s">
        <v>4</v>
      </c>
      <c r="C2129">
        <v>62</v>
      </c>
    </row>
    <row r="2130" spans="1:3">
      <c r="A2130" t="str">
        <f>"H50028"</f>
        <v>H50028</v>
      </c>
      <c r="B2130" t="s">
        <v>4</v>
      </c>
      <c r="C2130">
        <v>62</v>
      </c>
    </row>
    <row r="2131" spans="1:3">
      <c r="A2131" t="str">
        <f>"H50029"</f>
        <v>H50029</v>
      </c>
      <c r="B2131" t="s">
        <v>4</v>
      </c>
      <c r="C2131">
        <v>62</v>
      </c>
    </row>
    <row r="2132" spans="1:3">
      <c r="A2132" t="str">
        <f>"H50030"</f>
        <v>H50030</v>
      </c>
      <c r="B2132" t="s">
        <v>4</v>
      </c>
      <c r="C2132">
        <v>62</v>
      </c>
    </row>
    <row r="2133" spans="1:3">
      <c r="A2133" t="str">
        <f>"H50031"</f>
        <v>H50031</v>
      </c>
      <c r="B2133" t="s">
        <v>4</v>
      </c>
      <c r="C2133">
        <v>62</v>
      </c>
    </row>
    <row r="2134" spans="1:3">
      <c r="A2134" t="str">
        <f>"H50032"</f>
        <v>H50032</v>
      </c>
      <c r="B2134" t="s">
        <v>4</v>
      </c>
      <c r="C2134">
        <v>62</v>
      </c>
    </row>
    <row r="2135" spans="1:3">
      <c r="A2135" t="str">
        <f>"H50033"</f>
        <v>H50033</v>
      </c>
      <c r="B2135" t="s">
        <v>4</v>
      </c>
      <c r="C2135">
        <v>62</v>
      </c>
    </row>
    <row r="2136" spans="1:3">
      <c r="A2136" t="str">
        <f>"H50034"</f>
        <v>H50034</v>
      </c>
      <c r="B2136" t="s">
        <v>4</v>
      </c>
      <c r="C2136">
        <v>62</v>
      </c>
    </row>
    <row r="2137" spans="1:3">
      <c r="A2137" t="str">
        <f>"H50035"</f>
        <v>H50035</v>
      </c>
      <c r="B2137" t="s">
        <v>4</v>
      </c>
      <c r="C2137">
        <v>62</v>
      </c>
    </row>
    <row r="2138" spans="1:3">
      <c r="A2138" t="str">
        <f>"H50036"</f>
        <v>H50036</v>
      </c>
      <c r="B2138" t="s">
        <v>4</v>
      </c>
      <c r="C2138">
        <v>62</v>
      </c>
    </row>
    <row r="2139" spans="1:3">
      <c r="A2139" t="str">
        <f>"H50037"</f>
        <v>H50037</v>
      </c>
      <c r="B2139" t="s">
        <v>4</v>
      </c>
      <c r="C2139">
        <v>62</v>
      </c>
    </row>
    <row r="2140" spans="1:3">
      <c r="A2140" t="str">
        <f>"H50038"</f>
        <v>H50038</v>
      </c>
      <c r="B2140" t="s">
        <v>4</v>
      </c>
      <c r="C2140">
        <v>62</v>
      </c>
    </row>
    <row r="2141" spans="1:3">
      <c r="A2141" t="str">
        <f>"H50039"</f>
        <v>H50039</v>
      </c>
      <c r="B2141" t="s">
        <v>4</v>
      </c>
      <c r="C2141">
        <v>62</v>
      </c>
    </row>
    <row r="2142" spans="1:3">
      <c r="A2142" t="str">
        <f>"H50040"</f>
        <v>H50040</v>
      </c>
      <c r="B2142" t="s">
        <v>4</v>
      </c>
      <c r="C2142">
        <v>62</v>
      </c>
    </row>
    <row r="2143" spans="1:3">
      <c r="A2143" t="str">
        <f>"H50042"</f>
        <v>H50042</v>
      </c>
      <c r="B2143" t="s">
        <v>4</v>
      </c>
      <c r="C2143">
        <v>62</v>
      </c>
    </row>
    <row r="2144" spans="1:3">
      <c r="A2144" t="str">
        <f>"H50043"</f>
        <v>H50043</v>
      </c>
      <c r="B2144" t="s">
        <v>4</v>
      </c>
      <c r="C2144">
        <v>62</v>
      </c>
    </row>
    <row r="2145" spans="1:3">
      <c r="A2145" t="str">
        <f>"H50044"</f>
        <v>H50044</v>
      </c>
      <c r="B2145" t="s">
        <v>4</v>
      </c>
      <c r="C2145">
        <v>62</v>
      </c>
    </row>
    <row r="2146" spans="1:3">
      <c r="A2146" t="str">
        <f>"H50045"</f>
        <v>H50045</v>
      </c>
      <c r="B2146" t="s">
        <v>4</v>
      </c>
      <c r="C2146">
        <v>62</v>
      </c>
    </row>
    <row r="2147" spans="1:3">
      <c r="A2147" t="str">
        <f>"H50046"</f>
        <v>H50046</v>
      </c>
      <c r="B2147" t="s">
        <v>4</v>
      </c>
      <c r="C2147">
        <v>62</v>
      </c>
    </row>
    <row r="2148" spans="1:3">
      <c r="A2148" t="str">
        <f>"H50047"</f>
        <v>H50047</v>
      </c>
      <c r="B2148" t="s">
        <v>4</v>
      </c>
      <c r="C2148">
        <v>62</v>
      </c>
    </row>
    <row r="2149" spans="1:3">
      <c r="A2149" t="str">
        <f>"H50052"</f>
        <v>H50052</v>
      </c>
      <c r="B2149" t="s">
        <v>4</v>
      </c>
      <c r="C2149">
        <v>62</v>
      </c>
    </row>
    <row r="2150" spans="1:3">
      <c r="A2150" t="str">
        <f>"H50053"</f>
        <v>H50053</v>
      </c>
      <c r="B2150" t="s">
        <v>4</v>
      </c>
      <c r="C2150">
        <v>62</v>
      </c>
    </row>
    <row r="2151" spans="1:3">
      <c r="A2151" t="str">
        <f>"H50054"</f>
        <v>H50054</v>
      </c>
      <c r="B2151" t="s">
        <v>4</v>
      </c>
      <c r="C2151">
        <v>62</v>
      </c>
    </row>
    <row r="2152" spans="1:3">
      <c r="A2152" t="str">
        <f>"H50055"</f>
        <v>H50055</v>
      </c>
      <c r="B2152" t="s">
        <v>4</v>
      </c>
      <c r="C2152">
        <v>62</v>
      </c>
    </row>
    <row r="2153" spans="1:3">
      <c r="A2153" t="str">
        <f>"H50056"</f>
        <v>H50056</v>
      </c>
      <c r="B2153" t="s">
        <v>4</v>
      </c>
      <c r="C2153">
        <v>62</v>
      </c>
    </row>
    <row r="2154" spans="1:3">
      <c r="A2154" t="str">
        <f>"H50069"</f>
        <v>H50069</v>
      </c>
      <c r="B2154" t="s">
        <v>4</v>
      </c>
      <c r="C2154">
        <v>62</v>
      </c>
    </row>
    <row r="2155" spans="1:3">
      <c r="A2155" t="str">
        <f>"N00300"</f>
        <v>N00300</v>
      </c>
      <c r="B2155" t="s">
        <v>4</v>
      </c>
      <c r="C2155">
        <v>62</v>
      </c>
    </row>
    <row r="2156" spans="1:3">
      <c r="A2156" t="str">
        <f>"N00688"</f>
        <v>N00688</v>
      </c>
      <c r="B2156" t="s">
        <v>4</v>
      </c>
      <c r="C2156">
        <v>62</v>
      </c>
    </row>
    <row r="2157" spans="1:3">
      <c r="A2157" t="str">
        <f>"N00905"</f>
        <v>N00905</v>
      </c>
      <c r="B2157" t="s">
        <v>4</v>
      </c>
      <c r="C2157">
        <v>62</v>
      </c>
    </row>
    <row r="2158" spans="1:3">
      <c r="A2158" t="str">
        <f>"SHHKSI"</f>
        <v>SHHKSI</v>
      </c>
      <c r="B2158" t="s">
        <v>4</v>
      </c>
      <c r="C2158">
        <v>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中证指数20250818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安安</cp:lastModifiedBy>
  <dcterms:created xsi:type="dcterms:W3CDTF">2025-08-21T00:33:50Z</dcterms:created>
  <dcterms:modified xsi:type="dcterms:W3CDTF">2025-08-21T00:39:51Z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2052-12.1.0.21911</vt:lpwstr>
  </property>
  <property fmtid="{D5CDD505-2E9C-101B-9397-08002B2CF9AE}" pid="3" name="ICV">
    <vt:lpwstr>23D136F6EBF348C3A195E8B682BD4901_13</vt:lpwstr>
  </property>
</Properties>
</file>