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股票行业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<sst xmlns="http://schemas.openxmlformats.org/spreadsheetml/2006/main" count="36" uniqueCount="36">
  <si>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行业名称</t>
  </si>
  <si>
    <t>股票数(只)</t>
  </si>
  <si>
    <t>股票数量占比</t>
  </si>
  <si>
    <t>上市公司家数(家)</t>
  </si>
  <si>
    <t>成交金额(元)</t>
  </si>
  <si>
    <t>成交金额占比</t>
  </si>
  <si>
    <t>成交量</t>
  </si>
  <si>
    <t>成交量占比</t>
  </si>
  <si>
    <t>总股本</t>
  </si>
  <si>
    <t>总股本占比</t>
  </si>
  <si>
    <t>总市值</t>
  </si>
  <si>
    <t>总市值占比</t>
  </si>
  <si>
    <t>流通股本</t>
  </si>
  <si>
    <t>流通股本占比</t>
  </si>
  <si>
    <t>流通市值</t>
  </si>
  <si>
    <t>流通市值占比</t>
  </si>
  <si>
    <t>农林牧渔</t>
  </si>
  <si>
    <t>采矿业</t>
  </si>
  <si>
    <t>制造业</t>
  </si>
  <si>
    <t>水电煤气</t>
  </si>
  <si>
    <t>建筑业</t>
  </si>
  <si>
    <t>批发零售</t>
  </si>
  <si>
    <t>运输仓储</t>
  </si>
  <si>
    <t>住宿餐饮</t>
  </si>
  <si>
    <t>信息技术</t>
  </si>
  <si>
    <t>金融业</t>
  </si>
  <si>
    <t>房地产</t>
  </si>
  <si>
    <t>商务服务</t>
  </si>
  <si>
    <t>科研服务</t>
  </si>
  <si>
    <t>公共环保</t>
  </si>
  <si>
    <t>居民服务</t>
  </si>
  <si>
    <t>教育</t>
  </si>
  <si>
    <t>卫生</t>
  </si>
  <si>
    <t>文化传播</t>
  </si>
  <si>
    <t>综合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</si>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</sst>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indexed="8"/>
      <name val="宋体"/>
      <charset val="134"/>
      <scheme val="minor"/>
    </font>
    <font>
      <b/>
      <sz val="10"/>
      <name val="Calibri"/>
      <charset val="134"/>
    </font>
    <font>
      <b/>
      <sz val="10"/>
      <name val="宋体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A16" sqref="A16"/>
    </sheetView>
  </sheetViews>
  <sheetFormatPr defaultColWidth="11" defaultRowHeight="13.5"/>
  <cols>
    <col min="1" max="1" width="8.375" customWidth="1"/>
    <col min="2" max="2" width="9.375" style="1" customWidth="1"/>
    <col min="3" max="3" width="12.125" style="1" customWidth="1"/>
    <col min="4" max="4" width="15.125" style="1" customWidth="1"/>
    <col min="5" max="5" width="13.625" customWidth="1"/>
    <col min="6" max="6" width="12.125" style="1" customWidth="1"/>
    <col min="7" max="7" width="11.375" customWidth="1"/>
    <col min="8" max="8" width="10.125" style="1" customWidth="1"/>
    <col min="9" max="9" width="15.875" style="1" customWidth="1"/>
    <col min="10" max="10" width="10.125" style="1" customWidth="1"/>
    <col min="11" max="11" width="15.75" style="1" customWidth="1"/>
    <col min="12" max="12" width="10.125" style="1" customWidth="1"/>
    <col min="13" max="13" width="14.75" style="1" customWidth="1"/>
    <col min="14" max="14" width="12.125" style="1" customWidth="1"/>
    <col min="15" max="15" width="15.75" style="1" customWidth="1"/>
    <col min="16" max="16" width="12.125" style="1" customWidth="1"/>
  </cols>
  <sheetData>
    <row r="1" spans="1:16">
      <c r="A1" s="2" t="s">
        <v>0</v>
      </c>
      <c r="B1" s="3" t="s">
        <v>1</v>
      </c>
      <c r="C1" s="4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</row>
    <row r="2" spans="1:16">
      <c r="A2" s="5" t="s">
        <v>16</v>
      </c>
      <c r="B2" s="6">
        <v>30</v>
      </c>
      <c r="C2" s="7">
        <f>B2/2892*100</f>
        <v>1.03734439834025</v>
      </c>
      <c r="D2" s="6">
        <v>30</v>
      </c>
      <c r="E2" s="8">
        <v>4906140922</v>
      </c>
      <c r="F2" s="7">
        <f>(E2/1054304667108)*100</f>
        <v>0.465343754520004</v>
      </c>
      <c r="G2" s="8">
        <v>698244787</v>
      </c>
      <c r="H2" s="7">
        <f>(G2/81684376130)*100</f>
        <v>0.854808251076986</v>
      </c>
      <c r="I2" s="8">
        <v>41554281465</v>
      </c>
      <c r="J2" s="7">
        <f>(I2/2640205994040)*100</f>
        <v>1.57390300449301</v>
      </c>
      <c r="K2" s="8">
        <v>497785292160</v>
      </c>
      <c r="L2" s="7">
        <f>(K2/34229135191628)*100</f>
        <v>1.4542736454579</v>
      </c>
      <c r="M2" s="8">
        <v>34369963433</v>
      </c>
      <c r="N2" s="7">
        <f>(M2/2337232495052)*100</f>
        <v>1.47054105681666</v>
      </c>
      <c r="O2" s="8">
        <v>390870881096</v>
      </c>
      <c r="P2" s="7">
        <f>(O2/29080366016832)*100</f>
        <v>1.34410578212723</v>
      </c>
    </row>
    <row r="3" spans="1:16">
      <c r="A3" s="5" t="s">
        <v>17</v>
      </c>
      <c r="B3" s="6">
        <v>31</v>
      </c>
      <c r="C3" s="7">
        <f t="shared" ref="C3:C21" si="0">B3/2892*100</f>
        <v>1.07192254495159</v>
      </c>
      <c r="D3" s="6">
        <v>31</v>
      </c>
      <c r="E3" s="8">
        <v>5794951106</v>
      </c>
      <c r="F3" s="7">
        <f t="shared" ref="F3:F21" si="1">(E3/1054304667108)*100</f>
        <v>0.549646728008497</v>
      </c>
      <c r="G3" s="8">
        <v>564034633</v>
      </c>
      <c r="H3" s="7">
        <f t="shared" ref="H3:H21" si="2">(G3/81684376130)*100</f>
        <v>0.690504916267394</v>
      </c>
      <c r="I3" s="8">
        <v>40181725261</v>
      </c>
      <c r="J3" s="7">
        <f t="shared" ref="J3:J21" si="3">(I3/2640205994040)*100</f>
        <v>1.52191629561126</v>
      </c>
      <c r="K3" s="8">
        <v>387825714899</v>
      </c>
      <c r="L3" s="7">
        <f t="shared" ref="L3:L21" si="4">(K3/34229135191628)*100</f>
        <v>1.13302808478158</v>
      </c>
      <c r="M3" s="8">
        <v>36031749265</v>
      </c>
      <c r="N3" s="7">
        <f t="shared" ref="N3:N21" si="5">(M3/2337232495052)*100</f>
        <v>1.54164163562163</v>
      </c>
      <c r="O3" s="8">
        <v>353352764543</v>
      </c>
      <c r="P3" s="7">
        <f t="shared" ref="P3:P21" si="6">(O3/29080366016832)*100</f>
        <v>1.21509049899329</v>
      </c>
    </row>
    <row r="4" spans="1:16">
      <c r="A4" s="5" t="s">
        <v>18</v>
      </c>
      <c r="B4" s="6">
        <v>2007</v>
      </c>
      <c r="C4" s="7">
        <f t="shared" si="0"/>
        <v>69.3983402489627</v>
      </c>
      <c r="D4" s="6">
        <v>1985</v>
      </c>
      <c r="E4" s="8">
        <v>627258131286</v>
      </c>
      <c r="F4" s="7">
        <f t="shared" si="1"/>
        <v>59.4949591759462</v>
      </c>
      <c r="G4" s="8">
        <v>44500114444</v>
      </c>
      <c r="H4" s="7">
        <f t="shared" si="2"/>
        <v>54.4781224418957</v>
      </c>
      <c r="I4" s="8">
        <v>1531813982816</v>
      </c>
      <c r="J4" s="7">
        <f t="shared" si="3"/>
        <v>58.0187298367596</v>
      </c>
      <c r="K4" s="8">
        <v>23830615358548</v>
      </c>
      <c r="L4" s="7">
        <f t="shared" si="4"/>
        <v>69.6208514329531</v>
      </c>
      <c r="M4" s="8">
        <v>1348838921156</v>
      </c>
      <c r="N4" s="7">
        <f t="shared" si="5"/>
        <v>57.7109433490907</v>
      </c>
      <c r="O4" s="8">
        <v>20158915867756</v>
      </c>
      <c r="P4" s="7">
        <f t="shared" si="6"/>
        <v>69.3213966292165</v>
      </c>
    </row>
    <row r="5" spans="1:16">
      <c r="A5" s="5" t="s">
        <v>19</v>
      </c>
      <c r="B5" s="6">
        <v>60</v>
      </c>
      <c r="C5" s="7">
        <f t="shared" si="0"/>
        <v>2.0746887966805</v>
      </c>
      <c r="D5" s="6">
        <v>58</v>
      </c>
      <c r="E5" s="8">
        <v>6966792382</v>
      </c>
      <c r="F5" s="7">
        <f t="shared" si="1"/>
        <v>0.660794986435011</v>
      </c>
      <c r="G5" s="8">
        <v>1180105380</v>
      </c>
      <c r="H5" s="7">
        <f t="shared" si="2"/>
        <v>1.44471370892504</v>
      </c>
      <c r="I5" s="8">
        <v>133999322057</v>
      </c>
      <c r="J5" s="7">
        <f t="shared" si="3"/>
        <v>5.07533587755993</v>
      </c>
      <c r="K5" s="8">
        <v>782069830417</v>
      </c>
      <c r="L5" s="7">
        <f t="shared" si="4"/>
        <v>2.28480744850452</v>
      </c>
      <c r="M5" s="8">
        <v>121237989690</v>
      </c>
      <c r="N5" s="7">
        <f t="shared" si="5"/>
        <v>5.18724559694703</v>
      </c>
      <c r="O5" s="8">
        <v>698079295488</v>
      </c>
      <c r="P5" s="7">
        <f t="shared" si="6"/>
        <v>2.40051756942793</v>
      </c>
    </row>
    <row r="6" spans="1:16">
      <c r="A6" s="5" t="s">
        <v>20</v>
      </c>
      <c r="B6" s="6">
        <v>51</v>
      </c>
      <c r="C6" s="7">
        <f t="shared" si="0"/>
        <v>1.76348547717842</v>
      </c>
      <c r="D6" s="6">
        <v>51</v>
      </c>
      <c r="E6" s="8">
        <v>7205838704</v>
      </c>
      <c r="F6" s="7">
        <f t="shared" si="1"/>
        <v>0.683468349216921</v>
      </c>
      <c r="G6" s="8">
        <v>1027526160</v>
      </c>
      <c r="H6" s="7">
        <f t="shared" si="2"/>
        <v>1.25792251674262</v>
      </c>
      <c r="I6" s="8">
        <v>48003114214</v>
      </c>
      <c r="J6" s="7">
        <f t="shared" si="3"/>
        <v>1.81815791352501</v>
      </c>
      <c r="K6" s="8">
        <v>264477860625</v>
      </c>
      <c r="L6" s="7">
        <f t="shared" si="4"/>
        <v>0.772668836487835</v>
      </c>
      <c r="M6" s="8">
        <v>41868000714</v>
      </c>
      <c r="N6" s="7">
        <f t="shared" si="5"/>
        <v>1.79134941870935</v>
      </c>
      <c r="O6" s="8">
        <v>217437265293</v>
      </c>
      <c r="P6" s="7">
        <f t="shared" si="6"/>
        <v>0.74771158370959</v>
      </c>
    </row>
    <row r="7" spans="1:16">
      <c r="A7" s="5" t="s">
        <v>21</v>
      </c>
      <c r="B7" s="6">
        <v>103</v>
      </c>
      <c r="C7" s="7">
        <f t="shared" si="0"/>
        <v>3.56154910096819</v>
      </c>
      <c r="D7" s="6">
        <v>99</v>
      </c>
      <c r="E7" s="8">
        <v>31378973086</v>
      </c>
      <c r="F7" s="7">
        <f t="shared" si="1"/>
        <v>2.9762718562248</v>
      </c>
      <c r="G7" s="8">
        <v>3447201707</v>
      </c>
      <c r="H7" s="7">
        <f t="shared" si="2"/>
        <v>4.22014817315102</v>
      </c>
      <c r="I7" s="8">
        <v>96008935893</v>
      </c>
      <c r="J7" s="7">
        <f t="shared" si="3"/>
        <v>3.63641837454087</v>
      </c>
      <c r="K7" s="8">
        <v>776883154301</v>
      </c>
      <c r="L7" s="7">
        <f t="shared" si="4"/>
        <v>2.26965463764044</v>
      </c>
      <c r="M7" s="8">
        <v>83963956159</v>
      </c>
      <c r="N7" s="7">
        <f t="shared" si="5"/>
        <v>3.5924520276333</v>
      </c>
      <c r="O7" s="8">
        <v>660709884630</v>
      </c>
      <c r="P7" s="7">
        <f t="shared" si="6"/>
        <v>2.27201364744713</v>
      </c>
    </row>
    <row r="8" spans="1:16">
      <c r="A8" s="5" t="s">
        <v>22</v>
      </c>
      <c r="B8" s="6">
        <v>35</v>
      </c>
      <c r="C8" s="7">
        <f t="shared" si="0"/>
        <v>1.21023513139696</v>
      </c>
      <c r="D8" s="6">
        <v>33</v>
      </c>
      <c r="E8" s="8">
        <v>4886235373</v>
      </c>
      <c r="F8" s="7">
        <f t="shared" si="1"/>
        <v>0.463455728257671</v>
      </c>
      <c r="G8" s="8">
        <v>504765784</v>
      </c>
      <c r="H8" s="7">
        <f t="shared" si="2"/>
        <v>0.617946549774304</v>
      </c>
      <c r="I8" s="8">
        <v>62974675060</v>
      </c>
      <c r="J8" s="7">
        <f t="shared" si="3"/>
        <v>2.38521824441574</v>
      </c>
      <c r="K8" s="8">
        <v>673254987512</v>
      </c>
      <c r="L8" s="7">
        <f t="shared" si="4"/>
        <v>1.96690621525451</v>
      </c>
      <c r="M8" s="8">
        <v>46619486308</v>
      </c>
      <c r="N8" s="7">
        <f t="shared" si="5"/>
        <v>1.9946447949314</v>
      </c>
      <c r="O8" s="8">
        <v>548888293738</v>
      </c>
      <c r="P8" s="7">
        <f t="shared" si="6"/>
        <v>1.88748756951786</v>
      </c>
    </row>
    <row r="9" spans="1:16">
      <c r="A9" s="5" t="s">
        <v>23</v>
      </c>
      <c r="B9" s="6">
        <v>5</v>
      </c>
      <c r="C9" s="7">
        <f t="shared" si="0"/>
        <v>0.172890733056708</v>
      </c>
      <c r="D9" s="6">
        <v>5</v>
      </c>
      <c r="E9" s="8">
        <v>985205175</v>
      </c>
      <c r="F9" s="7">
        <f t="shared" si="1"/>
        <v>0.093445965453464</v>
      </c>
      <c r="G9" s="8">
        <v>214115121</v>
      </c>
      <c r="H9" s="7">
        <f t="shared" si="2"/>
        <v>0.262124938873546</v>
      </c>
      <c r="I9" s="8">
        <v>2963975442</v>
      </c>
      <c r="J9" s="7">
        <f t="shared" si="3"/>
        <v>0.112263037380071</v>
      </c>
      <c r="K9" s="8">
        <v>18366842427</v>
      </c>
      <c r="L9" s="7">
        <f t="shared" si="4"/>
        <v>0.0536585056098417</v>
      </c>
      <c r="M9" s="8">
        <v>2829937533</v>
      </c>
      <c r="N9" s="7">
        <f t="shared" si="5"/>
        <v>0.121080702882194</v>
      </c>
      <c r="O9" s="8">
        <v>17311004375</v>
      </c>
      <c r="P9" s="7">
        <f t="shared" si="6"/>
        <v>0.0595281516229205</v>
      </c>
    </row>
    <row r="10" spans="1:16">
      <c r="A10" s="5" t="s">
        <v>24</v>
      </c>
      <c r="B10" s="6">
        <v>259</v>
      </c>
      <c r="C10" s="7">
        <f t="shared" si="0"/>
        <v>8.95573997233748</v>
      </c>
      <c r="D10" s="6">
        <v>259</v>
      </c>
      <c r="E10" s="8">
        <v>242502592058</v>
      </c>
      <c r="F10" s="7">
        <f t="shared" si="1"/>
        <v>23.0011873819353</v>
      </c>
      <c r="G10" s="8">
        <v>15128999700</v>
      </c>
      <c r="H10" s="7">
        <f t="shared" si="2"/>
        <v>18.5212894029114</v>
      </c>
      <c r="I10" s="8">
        <v>179408666419</v>
      </c>
      <c r="J10" s="7">
        <f t="shared" si="3"/>
        <v>6.79525259862288</v>
      </c>
      <c r="K10" s="8">
        <v>2850475279189</v>
      </c>
      <c r="L10" s="7">
        <f t="shared" si="4"/>
        <v>8.32762868016072</v>
      </c>
      <c r="M10" s="8">
        <v>158895761966</v>
      </c>
      <c r="N10" s="7">
        <f t="shared" si="5"/>
        <v>6.79845767600732</v>
      </c>
      <c r="O10" s="8">
        <v>2345594597497</v>
      </c>
      <c r="P10" s="7">
        <f t="shared" si="6"/>
        <v>8.06590465931325</v>
      </c>
    </row>
    <row r="11" spans="1:16">
      <c r="A11" s="5" t="s">
        <v>25</v>
      </c>
      <c r="B11" s="6">
        <v>37</v>
      </c>
      <c r="C11" s="7">
        <f t="shared" si="0"/>
        <v>1.27939142461964</v>
      </c>
      <c r="D11" s="6">
        <v>37</v>
      </c>
      <c r="E11" s="8">
        <v>33915882235</v>
      </c>
      <c r="F11" s="7">
        <f t="shared" si="1"/>
        <v>3.21689576961019</v>
      </c>
      <c r="G11" s="8">
        <v>2309547130</v>
      </c>
      <c r="H11" s="7">
        <f t="shared" si="2"/>
        <v>2.82740376975442</v>
      </c>
      <c r="I11" s="8">
        <v>191182213723</v>
      </c>
      <c r="J11" s="7">
        <f t="shared" si="3"/>
        <v>7.24118550425893</v>
      </c>
      <c r="K11" s="8">
        <v>2003259683606</v>
      </c>
      <c r="L11" s="7">
        <f t="shared" si="4"/>
        <v>5.85249867515195</v>
      </c>
      <c r="M11" s="8">
        <v>182284283040</v>
      </c>
      <c r="N11" s="7">
        <f t="shared" si="5"/>
        <v>7.79915063759818</v>
      </c>
      <c r="O11" s="8">
        <v>1823625162194</v>
      </c>
      <c r="P11" s="7">
        <f t="shared" si="6"/>
        <v>6.27098421367347</v>
      </c>
    </row>
    <row r="12" spans="1:16">
      <c r="A12" s="5" t="s">
        <v>26</v>
      </c>
      <c r="B12" s="6">
        <v>47</v>
      </c>
      <c r="C12" s="7">
        <f t="shared" si="0"/>
        <v>1.62517289073306</v>
      </c>
      <c r="D12" s="6">
        <v>45</v>
      </c>
      <c r="E12" s="8">
        <v>8148567005</v>
      </c>
      <c r="F12" s="7">
        <f t="shared" si="1"/>
        <v>0.772885415309016</v>
      </c>
      <c r="G12" s="8">
        <v>1919803389</v>
      </c>
      <c r="H12" s="7">
        <f t="shared" si="2"/>
        <v>2.35027000260692</v>
      </c>
      <c r="I12" s="8">
        <v>95307678793</v>
      </c>
      <c r="J12" s="7">
        <f t="shared" si="3"/>
        <v>3.60985767808071</v>
      </c>
      <c r="K12" s="8">
        <v>434285962917</v>
      </c>
      <c r="L12" s="7">
        <f t="shared" si="4"/>
        <v>1.26876113137448</v>
      </c>
      <c r="M12" s="8">
        <v>87885696305</v>
      </c>
      <c r="N12" s="7">
        <f t="shared" si="5"/>
        <v>3.76024620961145</v>
      </c>
      <c r="O12" s="8">
        <v>408558738710</v>
      </c>
      <c r="P12" s="7">
        <f t="shared" si="6"/>
        <v>1.40492983641788</v>
      </c>
    </row>
    <row r="13" spans="1:16">
      <c r="A13" s="5" t="s">
        <v>27</v>
      </c>
      <c r="B13" s="6">
        <v>52</v>
      </c>
      <c r="C13" s="7">
        <f t="shared" si="0"/>
        <v>1.79806362378976</v>
      </c>
      <c r="D13" s="6">
        <v>50</v>
      </c>
      <c r="E13" s="8">
        <v>30546627782</v>
      </c>
      <c r="F13" s="7">
        <f t="shared" si="1"/>
        <v>2.89732453388361</v>
      </c>
      <c r="G13" s="8">
        <v>4664502925</v>
      </c>
      <c r="H13" s="7">
        <f t="shared" si="2"/>
        <v>5.71039793163932</v>
      </c>
      <c r="I13" s="8">
        <v>80522641091</v>
      </c>
      <c r="J13" s="7">
        <f t="shared" si="3"/>
        <v>3.0498620665498</v>
      </c>
      <c r="K13" s="8">
        <v>495312740768</v>
      </c>
      <c r="L13" s="7">
        <f t="shared" si="4"/>
        <v>1.44705011679391</v>
      </c>
      <c r="M13" s="8">
        <v>75640714009</v>
      </c>
      <c r="N13" s="7">
        <f t="shared" si="5"/>
        <v>3.23633674309826</v>
      </c>
      <c r="O13" s="8">
        <v>456348199059</v>
      </c>
      <c r="P13" s="7">
        <f t="shared" si="6"/>
        <v>1.56926566465794</v>
      </c>
    </row>
    <row r="14" spans="1:16">
      <c r="A14" s="5" t="s">
        <v>28</v>
      </c>
      <c r="B14" s="6">
        <v>68</v>
      </c>
      <c r="C14" s="7">
        <f t="shared" si="0"/>
        <v>2.35131396957123</v>
      </c>
      <c r="D14" s="6">
        <v>68</v>
      </c>
      <c r="E14" s="8">
        <v>11980838200</v>
      </c>
      <c r="F14" s="7">
        <f t="shared" si="1"/>
        <v>1.13637343870097</v>
      </c>
      <c r="G14" s="8">
        <v>641497787</v>
      </c>
      <c r="H14" s="7">
        <f t="shared" si="2"/>
        <v>0.785337193466547</v>
      </c>
      <c r="I14" s="8">
        <v>25165782089</v>
      </c>
      <c r="J14" s="7">
        <f t="shared" si="3"/>
        <v>0.953174947174926</v>
      </c>
      <c r="K14" s="8">
        <v>419244108925</v>
      </c>
      <c r="L14" s="7">
        <f t="shared" si="4"/>
        <v>1.22481653882842</v>
      </c>
      <c r="M14" s="8">
        <v>19610535738</v>
      </c>
      <c r="N14" s="7">
        <f t="shared" si="5"/>
        <v>0.839049421891753</v>
      </c>
      <c r="O14" s="8">
        <v>328723666281</v>
      </c>
      <c r="P14" s="7">
        <f t="shared" si="6"/>
        <v>1.13039727935588</v>
      </c>
    </row>
    <row r="15" spans="1:16">
      <c r="A15" s="5" t="s">
        <v>29</v>
      </c>
      <c r="B15" s="6">
        <v>56</v>
      </c>
      <c r="C15" s="7">
        <f t="shared" si="0"/>
        <v>1.93637621023513</v>
      </c>
      <c r="D15" s="6">
        <v>56</v>
      </c>
      <c r="E15" s="8">
        <v>5858412507</v>
      </c>
      <c r="F15" s="7">
        <f t="shared" si="1"/>
        <v>0.555665993879156</v>
      </c>
      <c r="G15" s="8">
        <v>1162784599</v>
      </c>
      <c r="H15" s="7">
        <f t="shared" si="2"/>
        <v>1.42350918754578</v>
      </c>
      <c r="I15" s="8">
        <v>49211083915</v>
      </c>
      <c r="J15" s="7">
        <f t="shared" si="3"/>
        <v>1.86391077158711</v>
      </c>
      <c r="K15" s="8">
        <v>253990637061</v>
      </c>
      <c r="L15" s="7">
        <f t="shared" si="4"/>
        <v>0.742030541055337</v>
      </c>
      <c r="M15" s="8">
        <v>42305725718</v>
      </c>
      <c r="N15" s="7">
        <f t="shared" si="5"/>
        <v>1.81007776537262</v>
      </c>
      <c r="O15" s="8">
        <v>206156310197</v>
      </c>
      <c r="P15" s="7">
        <f t="shared" si="6"/>
        <v>0.708919241517369</v>
      </c>
    </row>
    <row r="16" spans="1:16">
      <c r="A16" s="5" t="s">
        <v>30</v>
      </c>
      <c r="B16" s="6">
        <v>1</v>
      </c>
      <c r="C16" s="7">
        <f t="shared" si="0"/>
        <v>0.0345781466113416</v>
      </c>
      <c r="D16" s="6">
        <v>1</v>
      </c>
      <c r="E16" s="8">
        <v>61097396</v>
      </c>
      <c r="F16" s="7">
        <f t="shared" si="1"/>
        <v>0.00579504178498921</v>
      </c>
      <c r="G16" s="8">
        <v>6000587</v>
      </c>
      <c r="H16" s="7">
        <f t="shared" si="2"/>
        <v>0.0073460645527244</v>
      </c>
      <c r="I16" s="8">
        <v>130065904</v>
      </c>
      <c r="J16" s="7">
        <f t="shared" si="3"/>
        <v>0.0049263543940742</v>
      </c>
      <c r="K16" s="8">
        <v>1342280129</v>
      </c>
      <c r="L16" s="7">
        <f t="shared" si="4"/>
        <v>0.00392145498706115</v>
      </c>
      <c r="M16" s="8">
        <v>127217030</v>
      </c>
      <c r="N16" s="7">
        <f t="shared" si="5"/>
        <v>0.0054430626935627</v>
      </c>
      <c r="O16" s="8">
        <v>1312879750</v>
      </c>
      <c r="P16" s="7">
        <f t="shared" si="6"/>
        <v>0.00451466033556831</v>
      </c>
    </row>
    <row r="17" spans="1:16">
      <c r="A17" s="5" t="s">
        <v>31</v>
      </c>
      <c r="B17" s="6">
        <v>7</v>
      </c>
      <c r="C17" s="7">
        <f t="shared" si="0"/>
        <v>0.242047026279391</v>
      </c>
      <c r="D17" s="6">
        <v>7</v>
      </c>
      <c r="E17" s="8">
        <v>5165388207</v>
      </c>
      <c r="F17" s="7">
        <f t="shared" si="1"/>
        <v>0.48993316335864</v>
      </c>
      <c r="G17" s="8">
        <v>1000172346</v>
      </c>
      <c r="H17" s="7">
        <f t="shared" si="2"/>
        <v>1.22443531233958</v>
      </c>
      <c r="I17" s="8">
        <v>8656298425</v>
      </c>
      <c r="J17" s="7">
        <f t="shared" si="3"/>
        <v>0.327864509229232</v>
      </c>
      <c r="K17" s="8">
        <v>47214256754</v>
      </c>
      <c r="L17" s="7">
        <f t="shared" si="4"/>
        <v>0.137935873897124</v>
      </c>
      <c r="M17" s="8">
        <v>7413054299</v>
      </c>
      <c r="N17" s="7">
        <f t="shared" si="5"/>
        <v>0.317172310187099</v>
      </c>
      <c r="O17" s="8">
        <v>41621035854</v>
      </c>
      <c r="P17" s="7">
        <f t="shared" si="6"/>
        <v>0.143124181552286</v>
      </c>
    </row>
    <row r="18" spans="1:16">
      <c r="A18" s="5" t="s">
        <v>32</v>
      </c>
      <c r="B18" s="6">
        <v>15</v>
      </c>
      <c r="C18" s="7">
        <f t="shared" si="0"/>
        <v>0.518672199170124</v>
      </c>
      <c r="D18" s="6">
        <v>15</v>
      </c>
      <c r="E18" s="8">
        <v>6650731362</v>
      </c>
      <c r="F18" s="7">
        <f t="shared" si="1"/>
        <v>0.630816837816267</v>
      </c>
      <c r="G18" s="8">
        <v>752485581</v>
      </c>
      <c r="H18" s="7">
        <f t="shared" si="2"/>
        <v>0.921211150345845</v>
      </c>
      <c r="I18" s="8">
        <v>24945559937</v>
      </c>
      <c r="J18" s="7">
        <f t="shared" si="3"/>
        <v>0.94483384983263</v>
      </c>
      <c r="K18" s="8">
        <v>233384685681</v>
      </c>
      <c r="L18" s="7">
        <f t="shared" si="4"/>
        <v>0.681830506013143</v>
      </c>
      <c r="M18" s="8">
        <v>22378299506</v>
      </c>
      <c r="N18" s="7">
        <f t="shared" si="5"/>
        <v>0.957469980131442</v>
      </c>
      <c r="O18" s="8">
        <v>193994789623</v>
      </c>
      <c r="P18" s="7">
        <f t="shared" si="6"/>
        <v>0.66709885807735</v>
      </c>
    </row>
    <row r="19" spans="1:16">
      <c r="A19" s="5" t="s">
        <v>33</v>
      </c>
      <c r="B19" s="6">
        <v>25</v>
      </c>
      <c r="C19" s="7">
        <f t="shared" si="0"/>
        <v>0.864453665283541</v>
      </c>
      <c r="D19" s="6">
        <v>25</v>
      </c>
      <c r="E19" s="8">
        <v>17794706212</v>
      </c>
      <c r="F19" s="7">
        <f t="shared" si="1"/>
        <v>1.68781442093125</v>
      </c>
      <c r="G19" s="8">
        <v>1812140915</v>
      </c>
      <c r="H19" s="7">
        <f t="shared" si="2"/>
        <v>2.21846698335064</v>
      </c>
      <c r="I19" s="8">
        <v>26729935453</v>
      </c>
      <c r="J19" s="7">
        <f t="shared" si="3"/>
        <v>1.01241855799662</v>
      </c>
      <c r="K19" s="8">
        <v>242345564570</v>
      </c>
      <c r="L19" s="7">
        <f t="shared" si="4"/>
        <v>0.70800960413769</v>
      </c>
      <c r="M19" s="8">
        <v>23842892410</v>
      </c>
      <c r="N19" s="7">
        <f t="shared" si="5"/>
        <v>1.02013353230696</v>
      </c>
      <c r="O19" s="8">
        <v>216125731110</v>
      </c>
      <c r="P19" s="7">
        <f t="shared" si="6"/>
        <v>0.743201550437516</v>
      </c>
    </row>
    <row r="20" spans="1:16">
      <c r="A20" s="5" t="s">
        <v>34</v>
      </c>
      <c r="B20" s="6">
        <v>3</v>
      </c>
      <c r="C20" s="7">
        <f t="shared" si="0"/>
        <v>0.103734439834025</v>
      </c>
      <c r="D20" s="6">
        <v>3</v>
      </c>
      <c r="E20" s="8">
        <v>2297556112</v>
      </c>
      <c r="F20" s="7">
        <f t="shared" si="1"/>
        <v>0.21792145891778</v>
      </c>
      <c r="G20" s="8">
        <v>150333155</v>
      </c>
      <c r="H20" s="7">
        <f t="shared" si="2"/>
        <v>0.184041504780236</v>
      </c>
      <c r="I20" s="8">
        <v>1446056083</v>
      </c>
      <c r="J20" s="7">
        <f t="shared" si="3"/>
        <v>0.0547705779876391</v>
      </c>
      <c r="K20" s="8">
        <v>17000951139</v>
      </c>
      <c r="L20" s="7">
        <f t="shared" si="4"/>
        <v>0.0496680709104161</v>
      </c>
      <c r="M20" s="8">
        <v>1088310773</v>
      </c>
      <c r="N20" s="7">
        <f t="shared" si="5"/>
        <v>0.0465640784690437</v>
      </c>
      <c r="O20" s="8">
        <v>12739649639</v>
      </c>
      <c r="P20" s="7">
        <f t="shared" si="6"/>
        <v>0.043808422602474</v>
      </c>
    </row>
    <row r="21" spans="1:16">
      <c r="A21" s="5" t="s">
        <v>35</v>
      </c>
      <c r="B21" s="6">
        <v>2892</v>
      </c>
      <c r="C21" s="7">
        <f t="shared" si="0"/>
        <v>100</v>
      </c>
      <c r="D21" s="6">
        <v>2858</v>
      </c>
      <c r="E21" s="8">
        <v>1054304667108</v>
      </c>
      <c r="F21" s="7">
        <f t="shared" si="1"/>
        <v>100</v>
      </c>
      <c r="G21" s="8">
        <v>81684376130</v>
      </c>
      <c r="H21" s="7">
        <f t="shared" si="2"/>
        <v>100</v>
      </c>
      <c r="I21" s="7">
        <v>2640205994040</v>
      </c>
      <c r="J21" s="7">
        <f t="shared" si="3"/>
        <v>100</v>
      </c>
      <c r="K21" s="8">
        <v>34229135191628</v>
      </c>
      <c r="L21" s="7">
        <f t="shared" si="4"/>
        <v>100</v>
      </c>
      <c r="M21" s="8">
        <v>2337232495052</v>
      </c>
      <c r="N21" s="7">
        <f t="shared" si="5"/>
        <v>100</v>
      </c>
      <c r="O21" s="8">
        <v>29080366016832</v>
      </c>
      <c r="P21" s="7">
        <f t="shared" si="6"/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股票行业统计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2025-02-11T06:33:00Z</dcterms:created>
  <dcterms:modified xsi:type="dcterms:W3CDTF">2025-02-12T02:55:01Z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B941041F17ED4C9DB8D114F1D19E6D42_13</vt:lpwstr>
  </property>
</Properties>
</file>