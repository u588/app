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中证指数20230612" sheetId="1" r:id="rId1"/>
  </sheets>
  <calcPr calcId="144525"/>
</workbook>
</file>

<file path=xl/sharedStrings.xml><?xml version="1.0" encoding="utf-8"?>
<sst xmlns="http://schemas.openxmlformats.org/spreadsheetml/2006/main" count="1115" uniqueCount="1110">
  <si>
    <t>IndexCode</t>
  </si>
  <si>
    <t>IndexName</t>
  </si>
  <si>
    <t>Market</t>
  </si>
  <si>
    <t>新兴成指</t>
  </si>
  <si>
    <t>沪深300</t>
  </si>
  <si>
    <t>资源80</t>
  </si>
  <si>
    <t>300波动</t>
  </si>
  <si>
    <t>500波动</t>
  </si>
  <si>
    <t>A股资源</t>
  </si>
  <si>
    <t>消费服务</t>
  </si>
  <si>
    <t>食品饮料</t>
  </si>
  <si>
    <t>医药生物</t>
  </si>
  <si>
    <t>细分能源</t>
  </si>
  <si>
    <t>细分有色</t>
  </si>
  <si>
    <t>细分机械</t>
  </si>
  <si>
    <t>细分化工</t>
  </si>
  <si>
    <t>细分医药</t>
  </si>
  <si>
    <t>细分食品</t>
  </si>
  <si>
    <t>细分地产</t>
  </si>
  <si>
    <t>细分金融</t>
  </si>
  <si>
    <t>有色金属</t>
  </si>
  <si>
    <t>煤炭指数</t>
  </si>
  <si>
    <t>300红利</t>
  </si>
  <si>
    <t>500红利</t>
  </si>
  <si>
    <t>国企红利</t>
  </si>
  <si>
    <t>央企红利</t>
  </si>
  <si>
    <t>民企红利</t>
  </si>
  <si>
    <t>中证环保</t>
  </si>
  <si>
    <t>300高贝</t>
  </si>
  <si>
    <t>300低贝</t>
  </si>
  <si>
    <t>500高贝</t>
  </si>
  <si>
    <t>500低贝</t>
  </si>
  <si>
    <t>中证转债</t>
  </si>
  <si>
    <t>中高企债</t>
  </si>
  <si>
    <t>创业价值</t>
  </si>
  <si>
    <t>浙企综指</t>
  </si>
  <si>
    <t>浙江民企</t>
  </si>
  <si>
    <t>800医药</t>
  </si>
  <si>
    <t>800等权</t>
  </si>
  <si>
    <t>300动态</t>
  </si>
  <si>
    <t>300稳定</t>
  </si>
  <si>
    <t>ESG 100</t>
  </si>
  <si>
    <t>中证1000</t>
  </si>
  <si>
    <t>央视500</t>
  </si>
  <si>
    <t>国企一带一路</t>
  </si>
  <si>
    <t>结构调整</t>
  </si>
  <si>
    <t>央企创新</t>
  </si>
  <si>
    <t>新兴综指</t>
  </si>
  <si>
    <t>中证流通</t>
  </si>
  <si>
    <t>中证100</t>
  </si>
  <si>
    <t>中证200</t>
  </si>
  <si>
    <t>中证500</t>
  </si>
  <si>
    <t>中证800</t>
  </si>
  <si>
    <t>中证700</t>
  </si>
  <si>
    <t>300能源</t>
  </si>
  <si>
    <t>300材料</t>
  </si>
  <si>
    <t>300工业</t>
  </si>
  <si>
    <t>300可选</t>
  </si>
  <si>
    <t>300消费</t>
  </si>
  <si>
    <t>300医药</t>
  </si>
  <si>
    <t>300金融</t>
  </si>
  <si>
    <t>300信息</t>
  </si>
  <si>
    <t>300通信</t>
  </si>
  <si>
    <t>300公用</t>
  </si>
  <si>
    <t>300成长</t>
  </si>
  <si>
    <t>300价值</t>
  </si>
  <si>
    <t>300R成长</t>
  </si>
  <si>
    <t>300R价值</t>
  </si>
  <si>
    <t>中证红利</t>
  </si>
  <si>
    <t>公司债指</t>
  </si>
  <si>
    <t>基本面50</t>
  </si>
  <si>
    <t>中证央企</t>
  </si>
  <si>
    <t>央企100</t>
  </si>
  <si>
    <t>800能源</t>
  </si>
  <si>
    <t>800材料</t>
  </si>
  <si>
    <t>800工业</t>
  </si>
  <si>
    <t>800可选</t>
  </si>
  <si>
    <t>800消费</t>
  </si>
  <si>
    <t>800医卫</t>
  </si>
  <si>
    <t>800金地</t>
  </si>
  <si>
    <t>800信息</t>
  </si>
  <si>
    <t>800通信</t>
  </si>
  <si>
    <t>800公用</t>
  </si>
  <si>
    <t>中证民企</t>
  </si>
  <si>
    <t>民企成长</t>
  </si>
  <si>
    <t>财富大盘</t>
  </si>
  <si>
    <t>新能源</t>
  </si>
  <si>
    <t>内地消费</t>
  </si>
  <si>
    <t>新基建50</t>
  </si>
  <si>
    <t>内地资源</t>
  </si>
  <si>
    <t>内地运输</t>
  </si>
  <si>
    <t>内地银行</t>
  </si>
  <si>
    <t>内地地产</t>
  </si>
  <si>
    <t>中证农业</t>
  </si>
  <si>
    <t>300基建</t>
  </si>
  <si>
    <t>300银行</t>
  </si>
  <si>
    <t>300地产</t>
  </si>
  <si>
    <t>中证地企</t>
  </si>
  <si>
    <t>地企100</t>
  </si>
  <si>
    <t>中证国企</t>
  </si>
  <si>
    <t>国企200</t>
  </si>
  <si>
    <t>300运输</t>
  </si>
  <si>
    <t>创业成长</t>
  </si>
  <si>
    <t>银河99</t>
  </si>
  <si>
    <t>中证上游</t>
  </si>
  <si>
    <t>中证中游</t>
  </si>
  <si>
    <t>中证下游</t>
  </si>
  <si>
    <t>中证新兴</t>
  </si>
  <si>
    <t>基本200</t>
  </si>
  <si>
    <t>基本400</t>
  </si>
  <si>
    <t>基本600</t>
  </si>
  <si>
    <t>300周期</t>
  </si>
  <si>
    <t>300非周</t>
  </si>
  <si>
    <t>等权90</t>
  </si>
  <si>
    <t>300沪市</t>
  </si>
  <si>
    <t>钱江30</t>
  </si>
  <si>
    <t>内地低碳</t>
  </si>
  <si>
    <t>医药100</t>
  </si>
  <si>
    <t>大宗商品</t>
  </si>
  <si>
    <t>中证超大</t>
  </si>
  <si>
    <t>300分层</t>
  </si>
  <si>
    <t>500等权</t>
  </si>
  <si>
    <t>300等权</t>
  </si>
  <si>
    <t>中证全指</t>
  </si>
  <si>
    <t>全指能源</t>
  </si>
  <si>
    <t>全指材料</t>
  </si>
  <si>
    <t>全指工业</t>
  </si>
  <si>
    <t>全指可选</t>
  </si>
  <si>
    <t>全指消费</t>
  </si>
  <si>
    <t>全指医药</t>
  </si>
  <si>
    <t>金融地产</t>
  </si>
  <si>
    <t>全指信息</t>
  </si>
  <si>
    <t>全指通信</t>
  </si>
  <si>
    <t>全指公用</t>
  </si>
  <si>
    <t>中证TMT</t>
  </si>
  <si>
    <t>CSSW证券</t>
  </si>
  <si>
    <t>工业4.0</t>
  </si>
  <si>
    <t>中证体育</t>
  </si>
  <si>
    <t>互联金融</t>
  </si>
  <si>
    <t>环境治理</t>
  </si>
  <si>
    <t>高铁产业</t>
  </si>
  <si>
    <t>中证新能</t>
  </si>
  <si>
    <t>保险主题</t>
  </si>
  <si>
    <t>CSSW传媒</t>
  </si>
  <si>
    <t>CSSW电子</t>
  </si>
  <si>
    <t>养老产业</t>
  </si>
  <si>
    <t>中证国安</t>
  </si>
  <si>
    <t>大农业</t>
  </si>
  <si>
    <t>军工指数</t>
  </si>
  <si>
    <t>800地产</t>
  </si>
  <si>
    <t>800证保</t>
  </si>
  <si>
    <t>中证军工</t>
  </si>
  <si>
    <t>移动互联</t>
  </si>
  <si>
    <t>中证传媒</t>
  </si>
  <si>
    <t>中证国防</t>
  </si>
  <si>
    <t>国企改革</t>
  </si>
  <si>
    <t>证券公司</t>
  </si>
  <si>
    <t>CS新能车</t>
  </si>
  <si>
    <t>地产等权</t>
  </si>
  <si>
    <t>中证银行</t>
  </si>
  <si>
    <t>中证酒</t>
  </si>
  <si>
    <t>中证医疗</t>
  </si>
  <si>
    <t>煤炭等权</t>
  </si>
  <si>
    <t>一带一路</t>
  </si>
  <si>
    <t>CSWD并购</t>
  </si>
  <si>
    <t>CSWD生科</t>
  </si>
  <si>
    <t>信息安全</t>
  </si>
  <si>
    <t>基建工程</t>
  </si>
  <si>
    <t>智能家居</t>
  </si>
  <si>
    <t>中证白酒</t>
  </si>
  <si>
    <t>中证煤炭</t>
  </si>
  <si>
    <t>稀土产业</t>
  </si>
  <si>
    <t>中证高装</t>
  </si>
  <si>
    <t>中证软件</t>
  </si>
  <si>
    <t>中国互联网30</t>
  </si>
  <si>
    <t>中证钢铁</t>
  </si>
  <si>
    <t>中证汽车</t>
  </si>
  <si>
    <t>中证基建</t>
  </si>
  <si>
    <t>纯债债基</t>
  </si>
  <si>
    <t>普通债基</t>
  </si>
  <si>
    <t>中小国改</t>
  </si>
  <si>
    <t>混合改革</t>
  </si>
  <si>
    <t>非周民企</t>
  </si>
  <si>
    <t>环保50</t>
  </si>
  <si>
    <t>中证文体</t>
  </si>
  <si>
    <t>军工信息</t>
  </si>
  <si>
    <t>中证保险</t>
  </si>
  <si>
    <t>黄金采掘</t>
  </si>
  <si>
    <t>CSSW丝路</t>
  </si>
  <si>
    <t>CSSW高铁</t>
  </si>
  <si>
    <t>CSSW白酒</t>
  </si>
  <si>
    <t>SHS互联网</t>
  </si>
  <si>
    <t>CSSW健康</t>
  </si>
  <si>
    <t>CS稀金属</t>
  </si>
  <si>
    <t>中证旅游</t>
  </si>
  <si>
    <t>CS土改农</t>
  </si>
  <si>
    <t>CS智慧农</t>
  </si>
  <si>
    <t>CSWD重组</t>
  </si>
  <si>
    <t>中证中药</t>
  </si>
  <si>
    <t>中证核电</t>
  </si>
  <si>
    <t>CS轻资产</t>
  </si>
  <si>
    <t>CS智消费</t>
  </si>
  <si>
    <t>中证安防</t>
  </si>
  <si>
    <t>中证海洋</t>
  </si>
  <si>
    <t>CS计算机</t>
  </si>
  <si>
    <t>CS电子</t>
  </si>
  <si>
    <t>CS食品饮</t>
  </si>
  <si>
    <t>CS休闲娱</t>
  </si>
  <si>
    <t>500两倍</t>
  </si>
  <si>
    <t>500反向</t>
  </si>
  <si>
    <t>500反两</t>
  </si>
  <si>
    <t>CSSW体育</t>
  </si>
  <si>
    <t>CSSW互金</t>
  </si>
  <si>
    <t>CS现代农</t>
  </si>
  <si>
    <t>中证创投</t>
  </si>
  <si>
    <t>500商业</t>
  </si>
  <si>
    <t>500运输</t>
  </si>
  <si>
    <t>500资本品</t>
  </si>
  <si>
    <t>500房地产</t>
  </si>
  <si>
    <t>500零售</t>
  </si>
  <si>
    <t>500媒体</t>
  </si>
  <si>
    <t>500耐用</t>
  </si>
  <si>
    <t>500汽车汽配</t>
  </si>
  <si>
    <t>500硬件</t>
  </si>
  <si>
    <t>500软件</t>
  </si>
  <si>
    <t>500制药生物</t>
  </si>
  <si>
    <t>500食品饮料</t>
  </si>
  <si>
    <t>500电气设备</t>
  </si>
  <si>
    <t>500机械</t>
  </si>
  <si>
    <t>500建筑工程</t>
  </si>
  <si>
    <t>500多元零售</t>
  </si>
  <si>
    <t>500纺织服装</t>
  </si>
  <si>
    <t>500耐用消费</t>
  </si>
  <si>
    <t>500油气燃料</t>
  </si>
  <si>
    <t>500电子仪器</t>
  </si>
  <si>
    <t>500制药</t>
  </si>
  <si>
    <t>500化学制品</t>
  </si>
  <si>
    <t>500建筑材料</t>
  </si>
  <si>
    <t>500金属采矿</t>
  </si>
  <si>
    <t>500食品</t>
  </si>
  <si>
    <t>500饮料</t>
  </si>
  <si>
    <t>家用电器</t>
  </si>
  <si>
    <t>CS水利</t>
  </si>
  <si>
    <t>CS上海</t>
  </si>
  <si>
    <t>CS京津冀</t>
  </si>
  <si>
    <t>CS西部</t>
  </si>
  <si>
    <t>福建50</t>
  </si>
  <si>
    <t>CS广东</t>
  </si>
  <si>
    <t>中证水泥</t>
  </si>
  <si>
    <t>中证畜牧</t>
  </si>
  <si>
    <t>中证有色</t>
  </si>
  <si>
    <t>香港证券</t>
  </si>
  <si>
    <t>CS智穿戴</t>
  </si>
  <si>
    <t>CS物联网</t>
  </si>
  <si>
    <t>CS人工智</t>
  </si>
  <si>
    <t>CS朝阳88</t>
  </si>
  <si>
    <t>CS物流</t>
  </si>
  <si>
    <t>CS航运</t>
  </si>
  <si>
    <t>CS精准医</t>
  </si>
  <si>
    <t>CS互医疗</t>
  </si>
  <si>
    <t>CS智汽车</t>
  </si>
  <si>
    <t>CS互平台</t>
  </si>
  <si>
    <t>沪港深F100</t>
  </si>
  <si>
    <t>CS车联网</t>
  </si>
  <si>
    <t>CS生医</t>
  </si>
  <si>
    <t>CS自贸区</t>
  </si>
  <si>
    <t>CS乐园</t>
  </si>
  <si>
    <t>CS西藏</t>
  </si>
  <si>
    <t>CS中国造</t>
  </si>
  <si>
    <t>CS互联+</t>
  </si>
  <si>
    <t>360互联+</t>
  </si>
  <si>
    <t>四川国改</t>
  </si>
  <si>
    <t>300红利LV</t>
  </si>
  <si>
    <t>CS航空</t>
  </si>
  <si>
    <t>中证电商</t>
  </si>
  <si>
    <t>中证生科</t>
  </si>
  <si>
    <t>CSWD数据</t>
  </si>
  <si>
    <t>港中小企</t>
  </si>
  <si>
    <t>沪深300USD</t>
  </si>
  <si>
    <t>沪深300USD(CNH)</t>
  </si>
  <si>
    <t>凤凰50</t>
  </si>
  <si>
    <t>中金100USD(CNH)</t>
  </si>
  <si>
    <t>民企高装主题</t>
  </si>
  <si>
    <t>沪深300优选</t>
  </si>
  <si>
    <t>CS新能源</t>
  </si>
  <si>
    <t>100两倍</t>
  </si>
  <si>
    <t>100反向</t>
  </si>
  <si>
    <t>100反两</t>
  </si>
  <si>
    <t>CS增持</t>
  </si>
  <si>
    <t>CS定增</t>
  </si>
  <si>
    <t>中证影视</t>
  </si>
  <si>
    <t>500SNLV</t>
  </si>
  <si>
    <t>CS英大EI</t>
  </si>
  <si>
    <t>CSMA预期</t>
  </si>
  <si>
    <t>CS娱乐TI</t>
  </si>
  <si>
    <t>CS医药TI</t>
  </si>
  <si>
    <t>HK银行</t>
  </si>
  <si>
    <t>全球中国互联网</t>
  </si>
  <si>
    <t>CS高端制</t>
  </si>
  <si>
    <t>中证VR</t>
  </si>
  <si>
    <t>CS院校企</t>
  </si>
  <si>
    <t>环保专利</t>
  </si>
  <si>
    <t>CS高股息</t>
  </si>
  <si>
    <t>港股通高息精选</t>
  </si>
  <si>
    <t>2025退休</t>
  </si>
  <si>
    <t>2035退休</t>
  </si>
  <si>
    <t>2045退休</t>
  </si>
  <si>
    <t>CS供给侧</t>
  </si>
  <si>
    <t>300SNLV</t>
  </si>
  <si>
    <t>800SNLV</t>
  </si>
  <si>
    <t>1000SNLV</t>
  </si>
  <si>
    <t>智能制造</t>
  </si>
  <si>
    <t>云计算</t>
  </si>
  <si>
    <t>量子通信</t>
  </si>
  <si>
    <t>海绵城市</t>
  </si>
  <si>
    <t>水环境</t>
  </si>
  <si>
    <t>CS质量</t>
  </si>
  <si>
    <t>盈利质量</t>
  </si>
  <si>
    <t>空天军工</t>
  </si>
  <si>
    <t>CS珠三角</t>
  </si>
  <si>
    <t>创新驱动</t>
  </si>
  <si>
    <t>300创新</t>
  </si>
  <si>
    <t>500创新</t>
  </si>
  <si>
    <t>ETF市价</t>
  </si>
  <si>
    <t>主动股基</t>
  </si>
  <si>
    <t>被动股基</t>
  </si>
  <si>
    <t>普通混基</t>
  </si>
  <si>
    <t>灵活混基</t>
  </si>
  <si>
    <t>定开债基</t>
  </si>
  <si>
    <t>非纯债基</t>
  </si>
  <si>
    <t>转债债基</t>
  </si>
  <si>
    <t>动漫游戏</t>
  </si>
  <si>
    <t>中证数据</t>
  </si>
  <si>
    <t>中证A股</t>
  </si>
  <si>
    <t>中证PPP</t>
  </si>
  <si>
    <t>CS贵金属</t>
  </si>
  <si>
    <t>农牧渔</t>
  </si>
  <si>
    <t>化学原料</t>
  </si>
  <si>
    <t>港股通高股息</t>
  </si>
  <si>
    <t>SHS高股息</t>
  </si>
  <si>
    <t>CR基石</t>
  </si>
  <si>
    <t>CR新动能</t>
  </si>
  <si>
    <t>港股综合</t>
  </si>
  <si>
    <t>港股通50</t>
  </si>
  <si>
    <t>稳健成长</t>
  </si>
  <si>
    <t>500成长估值</t>
  </si>
  <si>
    <t>500质量</t>
  </si>
  <si>
    <t>价值回报</t>
  </si>
  <si>
    <t>偏股基金</t>
  </si>
  <si>
    <t>红利低波100</t>
  </si>
  <si>
    <t>绿色投资</t>
  </si>
  <si>
    <t>港股通中国100</t>
  </si>
  <si>
    <t>港股通医药C</t>
  </si>
  <si>
    <t>港股通医药CCNY</t>
  </si>
  <si>
    <t>东北指数</t>
  </si>
  <si>
    <t>扶贫指数</t>
  </si>
  <si>
    <t>MG200</t>
  </si>
  <si>
    <t>MG新经济</t>
  </si>
  <si>
    <t>500 LBLV</t>
  </si>
  <si>
    <t>金融科技</t>
  </si>
  <si>
    <t>安徽发展</t>
  </si>
  <si>
    <t>工银股混</t>
  </si>
  <si>
    <t>工银配置</t>
  </si>
  <si>
    <t>新能源车</t>
  </si>
  <si>
    <t>SHS大湾区</t>
  </si>
  <si>
    <t>大湾区</t>
  </si>
  <si>
    <t>女性消费</t>
  </si>
  <si>
    <t>母婴消费</t>
  </si>
  <si>
    <t>老年消费</t>
  </si>
  <si>
    <t>汽车指数</t>
  </si>
  <si>
    <t>建筑材料</t>
  </si>
  <si>
    <t>医药创新</t>
  </si>
  <si>
    <t>CS 黄金</t>
  </si>
  <si>
    <t>消费低波</t>
  </si>
  <si>
    <t>成长低波</t>
  </si>
  <si>
    <t>装配建筑</t>
  </si>
  <si>
    <t>家电龙头</t>
  </si>
  <si>
    <t>大气治理</t>
  </si>
  <si>
    <t>北京50</t>
  </si>
  <si>
    <t>港股通非银</t>
  </si>
  <si>
    <t>港股通地产</t>
  </si>
  <si>
    <t>港股通 TMT</t>
  </si>
  <si>
    <t>港股通大消费</t>
  </si>
  <si>
    <t>复兴100</t>
  </si>
  <si>
    <t>杭州湾区</t>
  </si>
  <si>
    <t>绿色领先</t>
  </si>
  <si>
    <t>银行AH</t>
  </si>
  <si>
    <t>国信价值</t>
  </si>
  <si>
    <t>高股息策略</t>
  </si>
  <si>
    <t>财务稳健</t>
  </si>
  <si>
    <t>稳健低波</t>
  </si>
  <si>
    <t>红利增长</t>
  </si>
  <si>
    <t>股权激励</t>
  </si>
  <si>
    <t>竞争优势</t>
  </si>
  <si>
    <t>质量低波</t>
  </si>
  <si>
    <t>创始经营</t>
  </si>
  <si>
    <t>财通浙30</t>
  </si>
  <si>
    <t>军工龙头</t>
  </si>
  <si>
    <t>绩优策略</t>
  </si>
  <si>
    <t>消费龙头</t>
  </si>
  <si>
    <t>中金300</t>
  </si>
  <si>
    <t>中金100</t>
  </si>
  <si>
    <t>人工智能</t>
  </si>
  <si>
    <t>全球中国互联网HK</t>
  </si>
  <si>
    <t>CSIHK1</t>
  </si>
  <si>
    <t>CSIHK2</t>
  </si>
  <si>
    <t>CSIHK3</t>
  </si>
  <si>
    <t>CSIHK4</t>
  </si>
  <si>
    <t>CSIHK5</t>
  </si>
  <si>
    <t>中证转债及可交换</t>
  </si>
  <si>
    <t>5G通信</t>
  </si>
  <si>
    <t>MG新经济AUD</t>
  </si>
  <si>
    <t>科技龙头</t>
  </si>
  <si>
    <t>180 ESG</t>
  </si>
  <si>
    <t>浙江新动能</t>
  </si>
  <si>
    <t>盈利估值</t>
  </si>
  <si>
    <t>红利成长低波</t>
  </si>
  <si>
    <t>乡村振兴</t>
  </si>
  <si>
    <t>诚通央企红利</t>
  </si>
  <si>
    <t>经济蓝筹</t>
  </si>
  <si>
    <t>AH经济蓝筹</t>
  </si>
  <si>
    <t>深圳科技</t>
  </si>
  <si>
    <t>高息低波</t>
  </si>
  <si>
    <t>CS消费50</t>
  </si>
  <si>
    <t>医药50</t>
  </si>
  <si>
    <t>CS长三角</t>
  </si>
  <si>
    <t>东证竞争</t>
  </si>
  <si>
    <t>通信技术</t>
  </si>
  <si>
    <t>交易所高等级绿色</t>
  </si>
  <si>
    <t>ESG80</t>
  </si>
  <si>
    <t>环境质量</t>
  </si>
  <si>
    <t>绿色质量</t>
  </si>
  <si>
    <t>光伏产业</t>
  </si>
  <si>
    <t>CS创新药</t>
  </si>
  <si>
    <t>FOF基金</t>
  </si>
  <si>
    <t>300质量</t>
  </si>
  <si>
    <t>800质量</t>
  </si>
  <si>
    <t>SHS红利成长LV</t>
  </si>
  <si>
    <t>创新100</t>
  </si>
  <si>
    <t>通信设备</t>
  </si>
  <si>
    <t>浙江100</t>
  </si>
  <si>
    <t>新兴科技100</t>
  </si>
  <si>
    <t>医药健康100</t>
  </si>
  <si>
    <t>先进制造100</t>
  </si>
  <si>
    <t>绿色价值100</t>
  </si>
  <si>
    <t>证券30</t>
  </si>
  <si>
    <t>民企龙头</t>
  </si>
  <si>
    <t>易方达2030</t>
  </si>
  <si>
    <t>易方达2040</t>
  </si>
  <si>
    <t>易方达2050</t>
  </si>
  <si>
    <t>易方达2060</t>
  </si>
  <si>
    <t>易方达中低</t>
  </si>
  <si>
    <t>易方达中等</t>
  </si>
  <si>
    <t>中证科技</t>
  </si>
  <si>
    <t>科技100</t>
  </si>
  <si>
    <t>海通ESG股债联动</t>
  </si>
  <si>
    <t>中证氢能</t>
  </si>
  <si>
    <t>央企红利50</t>
  </si>
  <si>
    <t>长三角示范区50</t>
  </si>
  <si>
    <t>中证电信</t>
  </si>
  <si>
    <t>家居家电</t>
  </si>
  <si>
    <t>央企ESG50</t>
  </si>
  <si>
    <t>诚通央企ESG</t>
  </si>
  <si>
    <t>央企基建</t>
  </si>
  <si>
    <t>商用飞机</t>
  </si>
  <si>
    <t>中证信创</t>
  </si>
  <si>
    <t>国新央企ESG成长1</t>
  </si>
  <si>
    <t>央企高装</t>
  </si>
  <si>
    <t>转债流动性策略</t>
  </si>
  <si>
    <t>互联互通A股投资</t>
  </si>
  <si>
    <t>民企300</t>
  </si>
  <si>
    <t>民企贡献</t>
  </si>
  <si>
    <t>民企领先</t>
  </si>
  <si>
    <t>持续发展</t>
  </si>
  <si>
    <t>海南指数</t>
  </si>
  <si>
    <t>CS科技</t>
  </si>
  <si>
    <t>CS消费</t>
  </si>
  <si>
    <t>CS周期</t>
  </si>
  <si>
    <t>民企创新</t>
  </si>
  <si>
    <t>优选消费50</t>
  </si>
  <si>
    <t>沪深300AUD(CNH)</t>
  </si>
  <si>
    <t>品牌消费100</t>
  </si>
  <si>
    <t>浙江国资</t>
  </si>
  <si>
    <t>股息龙头</t>
  </si>
  <si>
    <t>交银理财长三角</t>
  </si>
  <si>
    <t>300质量低波</t>
  </si>
  <si>
    <t>泰康红利LV</t>
  </si>
  <si>
    <t>经济成长</t>
  </si>
  <si>
    <t>科技50</t>
  </si>
  <si>
    <t>中证长三角</t>
  </si>
  <si>
    <t>智选300 ESG领先</t>
  </si>
  <si>
    <t>CS医药50</t>
  </si>
  <si>
    <t>湖北指数</t>
  </si>
  <si>
    <t>信息科技50</t>
  </si>
  <si>
    <t>沪港深300</t>
  </si>
  <si>
    <t>A股通50</t>
  </si>
  <si>
    <t>A股通100</t>
  </si>
  <si>
    <t>证券先锋</t>
  </si>
  <si>
    <t>品牌工程</t>
  </si>
  <si>
    <t>SHS品牌消费50</t>
  </si>
  <si>
    <t>5G 50</t>
  </si>
  <si>
    <t>SHS创新药</t>
  </si>
  <si>
    <t>证券公司30</t>
  </si>
  <si>
    <t>创新药30</t>
  </si>
  <si>
    <t>AI50</t>
  </si>
  <si>
    <t>SHS科技100</t>
  </si>
  <si>
    <t>东证红利低波</t>
  </si>
  <si>
    <t>科技先锋</t>
  </si>
  <si>
    <t>平安恒定风险</t>
  </si>
  <si>
    <t>港股通消费</t>
  </si>
  <si>
    <t>港股通消费CNY</t>
  </si>
  <si>
    <t>中国教育</t>
  </si>
  <si>
    <t>电子50</t>
  </si>
  <si>
    <t>300 ESG</t>
  </si>
  <si>
    <t>300 ESG领先</t>
  </si>
  <si>
    <t>300ESG价值</t>
  </si>
  <si>
    <t>医药龙头</t>
  </si>
  <si>
    <t>红利质量</t>
  </si>
  <si>
    <t>云计算50</t>
  </si>
  <si>
    <t>SHS云计算</t>
  </si>
  <si>
    <t>ESG 120策略</t>
  </si>
  <si>
    <t>华夏银行ESG</t>
  </si>
  <si>
    <t>苏州绿色发展</t>
  </si>
  <si>
    <t>证券保险</t>
  </si>
  <si>
    <t>线上消费</t>
  </si>
  <si>
    <t>SHS线上消费</t>
  </si>
  <si>
    <t>电子科技50</t>
  </si>
  <si>
    <t>CS医药创新</t>
  </si>
  <si>
    <t>SHS人工智能50</t>
  </si>
  <si>
    <t>A股通策略</t>
  </si>
  <si>
    <t>5G100</t>
  </si>
  <si>
    <t>消费电子</t>
  </si>
  <si>
    <t>工业互联</t>
  </si>
  <si>
    <t>交银理财大湾区</t>
  </si>
  <si>
    <t>行业潜力</t>
  </si>
  <si>
    <t>周期50</t>
  </si>
  <si>
    <t>公共卫生</t>
  </si>
  <si>
    <t>科技50领先</t>
  </si>
  <si>
    <t>高装细分50</t>
  </si>
  <si>
    <t>央企新动能</t>
  </si>
  <si>
    <t>SHS动漫游戏</t>
  </si>
  <si>
    <t>SHS科技龙头</t>
  </si>
  <si>
    <t>兴业证券ESG盈利1</t>
  </si>
  <si>
    <t>企业核心竞争力50</t>
  </si>
  <si>
    <t>长江保护</t>
  </si>
  <si>
    <t>新能电池</t>
  </si>
  <si>
    <t>苏锡常指</t>
  </si>
  <si>
    <t>无锡指数</t>
  </si>
  <si>
    <t>苏银理财长三角</t>
  </si>
  <si>
    <t>银华股基</t>
  </si>
  <si>
    <t>银华债基</t>
  </si>
  <si>
    <t>银华货基</t>
  </si>
  <si>
    <t>银华配置</t>
  </si>
  <si>
    <t>港股通科技</t>
  </si>
  <si>
    <t>港股科技</t>
  </si>
  <si>
    <t>SHS物联网</t>
  </si>
  <si>
    <t>东证优势成长</t>
  </si>
  <si>
    <t>SHS游戏传媒</t>
  </si>
  <si>
    <t>周期稳健成长50</t>
  </si>
  <si>
    <t>数字经济</t>
  </si>
  <si>
    <t>SHS数字经济</t>
  </si>
  <si>
    <t>卫星导航</t>
  </si>
  <si>
    <t>300价值稳健</t>
  </si>
  <si>
    <t>500价值稳健</t>
  </si>
  <si>
    <t>1000价值稳健</t>
  </si>
  <si>
    <t>300成长创新</t>
  </si>
  <si>
    <t>500成长创新</t>
  </si>
  <si>
    <t>1000成长创新</t>
  </si>
  <si>
    <t>医疗科技</t>
  </si>
  <si>
    <t>科技领先</t>
  </si>
  <si>
    <t>卫星产业</t>
  </si>
  <si>
    <t>CSSW通胀防御</t>
  </si>
  <si>
    <t>SHS张江50</t>
  </si>
  <si>
    <t>中银证券300 ESG</t>
  </si>
  <si>
    <t>港股通互联网</t>
  </si>
  <si>
    <t>创新药优势成长50</t>
  </si>
  <si>
    <t>科创创业50</t>
  </si>
  <si>
    <t>SHS新消费</t>
  </si>
  <si>
    <t>兴银理财均衡300</t>
  </si>
  <si>
    <t>500 ESG</t>
  </si>
  <si>
    <t>500ESG领先</t>
  </si>
  <si>
    <t>800ESG</t>
  </si>
  <si>
    <t>800ESG领先</t>
  </si>
  <si>
    <t>厦门指数</t>
  </si>
  <si>
    <t>广银理财沪港深健</t>
  </si>
  <si>
    <t>广银理财沪港深科</t>
  </si>
  <si>
    <t>中邮理财稳健策略</t>
  </si>
  <si>
    <t>中邮理财平衡策略</t>
  </si>
  <si>
    <t>500ESG价值</t>
  </si>
  <si>
    <t>800ESG价值</t>
  </si>
  <si>
    <t>SHS消费龙头</t>
  </si>
  <si>
    <t>动力电池</t>
  </si>
  <si>
    <t>CS常州</t>
  </si>
  <si>
    <t>宁波综指</t>
  </si>
  <si>
    <t>医疗50</t>
  </si>
  <si>
    <t>新能源车优势30</t>
  </si>
  <si>
    <t>风电产业</t>
  </si>
  <si>
    <t>酒主题</t>
  </si>
  <si>
    <t>证券时报价值100</t>
  </si>
  <si>
    <t>中证算力</t>
  </si>
  <si>
    <t>成渝经济圈</t>
  </si>
  <si>
    <t>科技50策略</t>
  </si>
  <si>
    <t>消费50策略</t>
  </si>
  <si>
    <t>医药50策略</t>
  </si>
  <si>
    <t>宁波制造</t>
  </si>
  <si>
    <t>高端造质量成长50</t>
  </si>
  <si>
    <t>CS电池</t>
  </si>
  <si>
    <t>中华联合优质成长</t>
  </si>
  <si>
    <t>网络安全</t>
  </si>
  <si>
    <t>食品主题</t>
  </si>
  <si>
    <t>太阳能30</t>
  </si>
  <si>
    <t>绿色能源</t>
  </si>
  <si>
    <t>半导体材料设备</t>
  </si>
  <si>
    <t>储能产业</t>
  </si>
  <si>
    <t>中证储能</t>
  </si>
  <si>
    <t>CXO</t>
  </si>
  <si>
    <t>工程机械主题</t>
  </si>
  <si>
    <t>机械优势30</t>
  </si>
  <si>
    <t>SEEE碳中和</t>
  </si>
  <si>
    <t>新生消费</t>
  </si>
  <si>
    <t>龙头优势50</t>
  </si>
  <si>
    <t>碳中和60</t>
  </si>
  <si>
    <t>房地产</t>
  </si>
  <si>
    <t>生物育种</t>
  </si>
  <si>
    <t>江苏高质量发展</t>
  </si>
  <si>
    <t>农牧主题</t>
  </si>
  <si>
    <t>智能驾驶</t>
  </si>
  <si>
    <t>港股创新药</t>
  </si>
  <si>
    <t>中韩50</t>
  </si>
  <si>
    <t>中韩新能车</t>
  </si>
  <si>
    <t>中韩半导体</t>
  </si>
  <si>
    <t>大盘蓝筹25</t>
  </si>
  <si>
    <t>新能车15</t>
  </si>
  <si>
    <t>半导体15</t>
  </si>
  <si>
    <t>消费领先50</t>
  </si>
  <si>
    <t>光伏龙头30</t>
  </si>
  <si>
    <t>国寿资产ESG绿色低碳100</t>
  </si>
  <si>
    <t>绿色生态</t>
  </si>
  <si>
    <t>中证龙头</t>
  </si>
  <si>
    <t>龙头核心竞争力50</t>
  </si>
  <si>
    <t>高股息ESG</t>
  </si>
  <si>
    <t>汇丰大盘多因子ES</t>
  </si>
  <si>
    <t>小家电主题</t>
  </si>
  <si>
    <t>兴证财富50</t>
  </si>
  <si>
    <t>自主创新</t>
  </si>
  <si>
    <t>大盘蓝筹25USD</t>
  </si>
  <si>
    <t>新能车15USD</t>
  </si>
  <si>
    <t>半导体15USD</t>
  </si>
  <si>
    <t>生猪产业</t>
  </si>
  <si>
    <t>500ESG优选</t>
  </si>
  <si>
    <t>绿色电力50</t>
  </si>
  <si>
    <t>每经品牌100</t>
  </si>
  <si>
    <t>低碳盈利100</t>
  </si>
  <si>
    <t>苏州制造100</t>
  </si>
  <si>
    <t>300碳中和</t>
  </si>
  <si>
    <t>中证半导</t>
  </si>
  <si>
    <t>中证机床</t>
  </si>
  <si>
    <t>科创创业50净收益</t>
  </si>
  <si>
    <t>央视财经基金100</t>
  </si>
  <si>
    <t>锂电池</t>
  </si>
  <si>
    <t>ESG300成长优选</t>
  </si>
  <si>
    <t>有色矿业</t>
  </si>
  <si>
    <t>银发经济</t>
  </si>
  <si>
    <t>中证银保</t>
  </si>
  <si>
    <t>300银保</t>
  </si>
  <si>
    <t>绿色电力</t>
  </si>
  <si>
    <t>800银保</t>
  </si>
  <si>
    <t>新能源金属50</t>
  </si>
  <si>
    <t>航空航天</t>
  </si>
  <si>
    <t>建筑装饰</t>
  </si>
  <si>
    <t>电力设备</t>
  </si>
  <si>
    <t>全指环保</t>
  </si>
  <si>
    <t>非金属材料</t>
  </si>
  <si>
    <t>全指钢铁</t>
  </si>
  <si>
    <t>全指有色</t>
  </si>
  <si>
    <t>造纸与包装</t>
  </si>
  <si>
    <t>服装珠宝</t>
  </si>
  <si>
    <t>家庭用品</t>
  </si>
  <si>
    <t>全指医疗</t>
  </si>
  <si>
    <t>其他金融</t>
  </si>
  <si>
    <t>电信服务</t>
  </si>
  <si>
    <t>通信设服</t>
  </si>
  <si>
    <t>银保主题</t>
  </si>
  <si>
    <t>汽车半导</t>
  </si>
  <si>
    <t>渝农商理财成渝经</t>
  </si>
  <si>
    <t>疫苗生物</t>
  </si>
  <si>
    <t>CS特高压</t>
  </si>
  <si>
    <t>海通大类资产配置</t>
  </si>
  <si>
    <t>新能源金属</t>
  </si>
  <si>
    <t>国新央企综指</t>
  </si>
  <si>
    <t>中证REITs</t>
  </si>
  <si>
    <t>800红利增长</t>
  </si>
  <si>
    <t>300红利增长</t>
  </si>
  <si>
    <t>500红利增长</t>
  </si>
  <si>
    <t>1000红利增长</t>
  </si>
  <si>
    <t>高端造50策略</t>
  </si>
  <si>
    <t>高端造50</t>
  </si>
  <si>
    <t>央企现代能源</t>
  </si>
  <si>
    <t>央企科技引领</t>
  </si>
  <si>
    <t>央企股东回报</t>
  </si>
  <si>
    <t>浦东绿色50ESG</t>
  </si>
  <si>
    <t>苏州创新50</t>
  </si>
  <si>
    <t>长寿经济</t>
  </si>
  <si>
    <t>北银理财北京科技</t>
  </si>
  <si>
    <t>红利增长50</t>
  </si>
  <si>
    <t>金司南气候友好</t>
  </si>
  <si>
    <t>全指金融</t>
  </si>
  <si>
    <t>全指地产</t>
  </si>
  <si>
    <t>全指能源行业</t>
  </si>
  <si>
    <t>全指材料行业</t>
  </si>
  <si>
    <t>全指工业行业</t>
  </si>
  <si>
    <t>全指可选行业</t>
  </si>
  <si>
    <t>全指消费行业</t>
  </si>
  <si>
    <t>全指医药行业</t>
  </si>
  <si>
    <t>全指金融行业</t>
  </si>
  <si>
    <t>全指信息行业</t>
  </si>
  <si>
    <t>全指通信行业</t>
  </si>
  <si>
    <t>全指公用行业</t>
  </si>
  <si>
    <t>集成电路</t>
  </si>
  <si>
    <t>全指航空</t>
  </si>
  <si>
    <t>全指节能</t>
  </si>
  <si>
    <t>储能设备</t>
  </si>
  <si>
    <t>全指种植</t>
  </si>
  <si>
    <t>数据中心</t>
  </si>
  <si>
    <t>通用机械</t>
  </si>
  <si>
    <t>软件开发</t>
  </si>
  <si>
    <t>交易所国企债</t>
  </si>
  <si>
    <t>交易所AAA国企债</t>
  </si>
  <si>
    <t>沪深300(净)HKD(CNH)</t>
  </si>
  <si>
    <t>G60综指</t>
  </si>
  <si>
    <t>G60成指</t>
  </si>
  <si>
    <t>上证汽车</t>
  </si>
  <si>
    <t>上证基建</t>
  </si>
  <si>
    <t>沪信安全</t>
  </si>
  <si>
    <t>沪互联网</t>
  </si>
  <si>
    <t>沪互金融</t>
  </si>
  <si>
    <t>沪现代农</t>
  </si>
  <si>
    <t>50两倍</t>
  </si>
  <si>
    <t>50反向</t>
  </si>
  <si>
    <t>50反两</t>
  </si>
  <si>
    <t>上证混改</t>
  </si>
  <si>
    <t>中小企改</t>
  </si>
  <si>
    <t>180碳效</t>
  </si>
  <si>
    <t>上海改革</t>
  </si>
  <si>
    <t>上证长三角</t>
  </si>
  <si>
    <t>沪物联网</t>
  </si>
  <si>
    <t>沪自贸区</t>
  </si>
  <si>
    <t>上证海洋</t>
  </si>
  <si>
    <t>沪轻资产</t>
  </si>
  <si>
    <t>上证电子</t>
  </si>
  <si>
    <t>50AH优选</t>
  </si>
  <si>
    <t>上证180优选</t>
  </si>
  <si>
    <t>上证增持</t>
  </si>
  <si>
    <t>上证定增</t>
  </si>
  <si>
    <t>上海国企</t>
  </si>
  <si>
    <t>沪供给侧</t>
  </si>
  <si>
    <t>180SNLV</t>
  </si>
  <si>
    <t>380SNLV</t>
  </si>
  <si>
    <t>上高股息</t>
  </si>
  <si>
    <t>沪智能造</t>
  </si>
  <si>
    <t>上证证券</t>
  </si>
  <si>
    <t>上证创新</t>
  </si>
  <si>
    <t>380创新</t>
  </si>
  <si>
    <t>沪新基建</t>
  </si>
  <si>
    <t>上证新能源车</t>
  </si>
  <si>
    <t>180金融行业</t>
  </si>
  <si>
    <t>380地产</t>
  </si>
  <si>
    <t>上证地产</t>
  </si>
  <si>
    <t>房地产等权</t>
  </si>
  <si>
    <t>沪地产红</t>
  </si>
  <si>
    <t>上证新能源</t>
  </si>
  <si>
    <t>50ESG</t>
  </si>
  <si>
    <t>180ESG基准</t>
  </si>
  <si>
    <t>380ESG</t>
  </si>
  <si>
    <t>180ESG领先</t>
  </si>
  <si>
    <t>380ESG领先</t>
  </si>
  <si>
    <t>沪国债及政金债</t>
  </si>
  <si>
    <t>上证光伏</t>
  </si>
  <si>
    <t>上证太阳能</t>
  </si>
  <si>
    <t>中华半导体芯片</t>
  </si>
  <si>
    <t>中华港股通精选100</t>
  </si>
  <si>
    <t>中华120</t>
  </si>
  <si>
    <t>中华280</t>
  </si>
  <si>
    <t>中华沪深港300</t>
  </si>
  <si>
    <t>中华 A80</t>
  </si>
  <si>
    <t>克而瑞内房股领先</t>
  </si>
  <si>
    <t>中华预期高股息</t>
  </si>
  <si>
    <t>中华博彩指数</t>
  </si>
  <si>
    <t>中华香港生物科技</t>
  </si>
  <si>
    <t>中华香港内地指数</t>
  </si>
  <si>
    <t>中华港股通优选50</t>
  </si>
  <si>
    <t>300收益</t>
  </si>
  <si>
    <t>中红收益</t>
  </si>
  <si>
    <t>光大阳光</t>
  </si>
  <si>
    <t>中证全债</t>
  </si>
  <si>
    <t>中证综合债</t>
  </si>
  <si>
    <t>中证基金</t>
  </si>
  <si>
    <t>股票基金</t>
  </si>
  <si>
    <t>混合基金</t>
  </si>
  <si>
    <t>债券基金</t>
  </si>
  <si>
    <t>ETF净价</t>
  </si>
  <si>
    <t>货币基金</t>
  </si>
  <si>
    <t>QDII基金</t>
  </si>
  <si>
    <t>金牛股票</t>
  </si>
  <si>
    <t>金牛混合</t>
  </si>
  <si>
    <t>AMAC农林</t>
  </si>
  <si>
    <t>AMAC采矿</t>
  </si>
  <si>
    <t>AMAC公用</t>
  </si>
  <si>
    <t>AMAC建筑</t>
  </si>
  <si>
    <t>AMAC交运</t>
  </si>
  <si>
    <t>AMAC信息</t>
  </si>
  <si>
    <t>AMAC批零</t>
  </si>
  <si>
    <t>AMAC金融</t>
  </si>
  <si>
    <t>AMAC地产</t>
  </si>
  <si>
    <t>AMAC文体</t>
  </si>
  <si>
    <t>AMAC综企</t>
  </si>
  <si>
    <t>钢铁产业</t>
  </si>
  <si>
    <t>智能电车</t>
  </si>
  <si>
    <t>纺织产业</t>
  </si>
  <si>
    <t>装备产业</t>
  </si>
  <si>
    <t>船舶产业</t>
  </si>
  <si>
    <t>石化产业</t>
  </si>
  <si>
    <t>轻工产业</t>
  </si>
  <si>
    <t>工业有色</t>
  </si>
  <si>
    <t>物流产业</t>
  </si>
  <si>
    <t>HGSZ AAA</t>
  </si>
  <si>
    <t>HGSZ AA+</t>
  </si>
  <si>
    <t>HGSZ AA</t>
  </si>
  <si>
    <t>HGSZ 1-3</t>
  </si>
  <si>
    <t>HGSZ 3-5</t>
  </si>
  <si>
    <t>HGSZ 5-7</t>
  </si>
  <si>
    <t>HGSZ7-10</t>
  </si>
  <si>
    <t>GSZ AAA</t>
  </si>
  <si>
    <t>香港100</t>
  </si>
  <si>
    <t>香港F50</t>
  </si>
  <si>
    <t>香港中盘精选</t>
  </si>
  <si>
    <t>富国多空</t>
  </si>
  <si>
    <t>香港内地50</t>
  </si>
  <si>
    <t>中国互联网</t>
  </si>
  <si>
    <t>香港红利</t>
  </si>
  <si>
    <t>港股通内地地产</t>
  </si>
  <si>
    <t>HKT内地消费</t>
  </si>
  <si>
    <t>港股通内地金融</t>
  </si>
  <si>
    <t>内地民营</t>
  </si>
  <si>
    <t>内地国有</t>
  </si>
  <si>
    <t>香港300</t>
  </si>
  <si>
    <t>稳健成长全收益</t>
  </si>
  <si>
    <t>高股息策略全收益</t>
  </si>
  <si>
    <t>环渤海</t>
  </si>
  <si>
    <t>长三角</t>
  </si>
  <si>
    <t>中部崛起</t>
  </si>
  <si>
    <t>西部开发</t>
  </si>
  <si>
    <t>东北振兴</t>
  </si>
  <si>
    <t>芯片产业</t>
  </si>
  <si>
    <t>800能源(二级)</t>
  </si>
  <si>
    <t>800资本</t>
  </si>
  <si>
    <t>800商业</t>
  </si>
  <si>
    <t>800运输</t>
  </si>
  <si>
    <t>800汽车</t>
  </si>
  <si>
    <t>800耐用</t>
  </si>
  <si>
    <t>800服务</t>
  </si>
  <si>
    <t>800媒体</t>
  </si>
  <si>
    <t>800零售</t>
  </si>
  <si>
    <t>800食零</t>
  </si>
  <si>
    <t>800银行</t>
  </si>
  <si>
    <t>800综金</t>
  </si>
  <si>
    <t>800保险</t>
  </si>
  <si>
    <t>800软件</t>
  </si>
  <si>
    <t>800半导</t>
  </si>
  <si>
    <t>800有色</t>
  </si>
  <si>
    <t>300有色</t>
  </si>
  <si>
    <t>300非银</t>
  </si>
  <si>
    <t>AMAC餐饮</t>
  </si>
  <si>
    <t>AMAC商务</t>
  </si>
  <si>
    <t>AMAC科技</t>
  </si>
  <si>
    <t>AMAC公共</t>
  </si>
  <si>
    <t>AMAC社会</t>
  </si>
  <si>
    <t>AMAC农副</t>
  </si>
  <si>
    <t>AMAC食品</t>
  </si>
  <si>
    <t>AMAC饮料</t>
  </si>
  <si>
    <t>AMAC纺织</t>
  </si>
  <si>
    <t>AMAC服装</t>
  </si>
  <si>
    <t>AMAC皮革</t>
  </si>
  <si>
    <t>AMAC木材</t>
  </si>
  <si>
    <t>AMAC家具</t>
  </si>
  <si>
    <t>AMAC造纸</t>
  </si>
  <si>
    <t>AMAC印刷</t>
  </si>
  <si>
    <t>AMAC文教</t>
  </si>
  <si>
    <t>AMAC石化</t>
  </si>
  <si>
    <t>AMAC化学</t>
  </si>
  <si>
    <t>AMAC医药</t>
  </si>
  <si>
    <t>AMAC化纤</t>
  </si>
  <si>
    <t>AMAC橡胶</t>
  </si>
  <si>
    <t>AMAC矿物</t>
  </si>
  <si>
    <t>AMAC钢铁</t>
  </si>
  <si>
    <t>AMAC有色</t>
  </si>
  <si>
    <t>AMAC金属</t>
  </si>
  <si>
    <t>AMAC通用</t>
  </si>
  <si>
    <t>AMAC专用</t>
  </si>
  <si>
    <t>AMAC汽车</t>
  </si>
  <si>
    <t>AMAC运输</t>
  </si>
  <si>
    <t>AMAC电气</t>
  </si>
  <si>
    <t>AMAC电子</t>
  </si>
  <si>
    <t>AMAC仪表</t>
  </si>
  <si>
    <t>中证文化</t>
  </si>
  <si>
    <t>红利回报</t>
  </si>
  <si>
    <t>中证服务</t>
  </si>
  <si>
    <t>300信服</t>
  </si>
  <si>
    <t>300消服</t>
  </si>
  <si>
    <t>300公运</t>
  </si>
  <si>
    <t>300两倍</t>
  </si>
  <si>
    <t>300反向</t>
  </si>
  <si>
    <t>300反两</t>
  </si>
  <si>
    <t>800金融</t>
  </si>
  <si>
    <t>500动态</t>
  </si>
  <si>
    <t>500稳定</t>
  </si>
  <si>
    <t>红利潜力</t>
  </si>
  <si>
    <t>能源红利</t>
  </si>
  <si>
    <t>材料红利</t>
  </si>
  <si>
    <t>工业红利</t>
  </si>
  <si>
    <t>可选红利</t>
  </si>
  <si>
    <t>消费红利</t>
  </si>
  <si>
    <t>医药红利</t>
  </si>
  <si>
    <t>金融红利</t>
  </si>
  <si>
    <t>信息红利</t>
  </si>
  <si>
    <t>通信红利</t>
  </si>
  <si>
    <t>公用红利</t>
  </si>
  <si>
    <t>H300金融服务</t>
  </si>
  <si>
    <t>安中动态</t>
  </si>
  <si>
    <t>中证城镇</t>
  </si>
  <si>
    <t>智慧城镇</t>
  </si>
  <si>
    <t>绿色城镇</t>
  </si>
  <si>
    <t>城镇交通</t>
  </si>
  <si>
    <t>智能交通</t>
  </si>
  <si>
    <t>城镇消费</t>
  </si>
  <si>
    <t>城镇基建</t>
  </si>
  <si>
    <t>汽车汽配</t>
  </si>
  <si>
    <t>机械制造</t>
  </si>
  <si>
    <t>资本品</t>
  </si>
  <si>
    <t>商业指数</t>
  </si>
  <si>
    <t>运输指数</t>
  </si>
  <si>
    <t>耐用服装</t>
  </si>
  <si>
    <t>消费者</t>
  </si>
  <si>
    <t>媒体指数</t>
  </si>
  <si>
    <t>零售指数</t>
  </si>
  <si>
    <t>食药零售</t>
  </si>
  <si>
    <t>全指食品</t>
  </si>
  <si>
    <t>医疗保健</t>
  </si>
  <si>
    <t>制药生物</t>
  </si>
  <si>
    <t>计算机</t>
  </si>
  <si>
    <t>电子</t>
  </si>
  <si>
    <t>半导体</t>
  </si>
  <si>
    <t>保险指数</t>
  </si>
  <si>
    <t>化学制品</t>
  </si>
  <si>
    <t>制药指数</t>
  </si>
  <si>
    <t>电子仪器</t>
  </si>
  <si>
    <t>食品</t>
  </si>
  <si>
    <t>纺织服装</t>
  </si>
  <si>
    <t>汽车配件</t>
  </si>
  <si>
    <t>建筑工程</t>
  </si>
  <si>
    <t>耐用消费品</t>
  </si>
  <si>
    <t>一般零售</t>
  </si>
  <si>
    <t>油气产业</t>
  </si>
  <si>
    <t>电力指数</t>
  </si>
  <si>
    <t>交通设施</t>
  </si>
  <si>
    <t>贸易商</t>
  </si>
  <si>
    <t>软件指数</t>
  </si>
  <si>
    <t>信息服务</t>
  </si>
  <si>
    <t>休闲服务</t>
  </si>
  <si>
    <t>饮料指数</t>
  </si>
  <si>
    <t>纸类林业</t>
  </si>
  <si>
    <t>电脑设备</t>
  </si>
  <si>
    <t>专营零售</t>
  </si>
  <si>
    <t>建筑产品</t>
  </si>
  <si>
    <t>资本市场</t>
  </si>
  <si>
    <t>CS航空航天</t>
  </si>
  <si>
    <t>油气开采服务</t>
  </si>
  <si>
    <t>休闲用品</t>
  </si>
  <si>
    <t>航运指数</t>
  </si>
  <si>
    <t>医疗器械</t>
  </si>
  <si>
    <t>水务指数</t>
  </si>
  <si>
    <t>容器包装</t>
  </si>
  <si>
    <t>文化娱乐</t>
  </si>
  <si>
    <t>复合公用</t>
  </si>
  <si>
    <t>运输业</t>
  </si>
  <si>
    <t>航空运输</t>
  </si>
  <si>
    <t>500能源</t>
  </si>
  <si>
    <t>500原料</t>
  </si>
  <si>
    <t>500工业</t>
  </si>
  <si>
    <t>500可选</t>
  </si>
  <si>
    <t>500消费</t>
  </si>
  <si>
    <t>500医药</t>
  </si>
  <si>
    <t>500金地</t>
  </si>
  <si>
    <t>500信息</t>
  </si>
  <si>
    <t>500通信</t>
  </si>
  <si>
    <t>500公用</t>
  </si>
  <si>
    <t>300动量</t>
  </si>
  <si>
    <t>300ERC</t>
  </si>
  <si>
    <t>腾讯济安</t>
  </si>
  <si>
    <t>红利低波</t>
  </si>
  <si>
    <t>红利价值</t>
  </si>
  <si>
    <t>100动态</t>
  </si>
  <si>
    <t>100稳定</t>
  </si>
  <si>
    <t>200动态</t>
  </si>
  <si>
    <t>200稳定</t>
  </si>
  <si>
    <t>科技传媒通信150</t>
  </si>
  <si>
    <t>香港50</t>
  </si>
  <si>
    <t>健康产业</t>
  </si>
  <si>
    <t>500成长</t>
  </si>
  <si>
    <t>500价值</t>
  </si>
  <si>
    <t>500R成长</t>
  </si>
  <si>
    <t>500R价值</t>
  </si>
  <si>
    <t>800成长</t>
  </si>
  <si>
    <t>800价值</t>
  </si>
  <si>
    <t>800R成长</t>
  </si>
  <si>
    <t>800R价值</t>
  </si>
  <si>
    <t>转型成长</t>
  </si>
  <si>
    <t>基本300</t>
  </si>
  <si>
    <t>基本500</t>
  </si>
  <si>
    <t>文娱传媒</t>
  </si>
  <si>
    <t>高分红</t>
  </si>
  <si>
    <t>中证高新</t>
  </si>
  <si>
    <t>中证安全</t>
  </si>
  <si>
    <t>百发100</t>
  </si>
  <si>
    <t>300日报酬两倍</t>
  </si>
  <si>
    <t>300日报酬反向</t>
  </si>
  <si>
    <t>1000能源</t>
  </si>
  <si>
    <t>1000材料</t>
  </si>
  <si>
    <t>1000工业</t>
  </si>
  <si>
    <t>1000可选</t>
  </si>
  <si>
    <t>1000消费</t>
  </si>
  <si>
    <t>1000医药</t>
  </si>
  <si>
    <t>1000金融</t>
  </si>
  <si>
    <t>1000信息</t>
  </si>
  <si>
    <t>1000通信</t>
  </si>
  <si>
    <t>1000公用</t>
  </si>
  <si>
    <t>沪港深500</t>
  </si>
  <si>
    <t>沪港深500医药</t>
  </si>
  <si>
    <t>500ERC</t>
  </si>
  <si>
    <t>300SER</t>
  </si>
  <si>
    <t>500SER</t>
  </si>
  <si>
    <t>精工制造</t>
  </si>
  <si>
    <t>资源优选</t>
  </si>
  <si>
    <t>中国互联网50</t>
  </si>
  <si>
    <t>互联网</t>
  </si>
  <si>
    <t>淘金100</t>
  </si>
  <si>
    <t>沪港深通TMT</t>
  </si>
  <si>
    <t>中证证保</t>
  </si>
  <si>
    <t>机器人</t>
  </si>
  <si>
    <t>新材料</t>
  </si>
  <si>
    <t>180能源</t>
  </si>
  <si>
    <t>180材料</t>
  </si>
  <si>
    <t>180工业</t>
  </si>
  <si>
    <t>180可选</t>
  </si>
  <si>
    <t>180消费</t>
  </si>
  <si>
    <t>180医药</t>
  </si>
  <si>
    <t>180金融地产</t>
  </si>
  <si>
    <t>180信息</t>
  </si>
  <si>
    <t>180通信</t>
  </si>
  <si>
    <t>180公用</t>
  </si>
  <si>
    <t>沪环渤海</t>
  </si>
  <si>
    <t>沪长三角</t>
  </si>
  <si>
    <t>沪珠三角</t>
  </si>
  <si>
    <t>沪中部</t>
  </si>
  <si>
    <t>沪西部</t>
  </si>
  <si>
    <t>沪东北</t>
  </si>
  <si>
    <t>沪信息业</t>
  </si>
  <si>
    <t>上证文化</t>
  </si>
  <si>
    <t>上红回报</t>
  </si>
  <si>
    <t>上红潜力</t>
  </si>
  <si>
    <t>沪能源红</t>
  </si>
  <si>
    <t>沪材料红</t>
  </si>
  <si>
    <t>沪工业红</t>
  </si>
  <si>
    <t>沪可选红</t>
  </si>
  <si>
    <t>沪消费红</t>
  </si>
  <si>
    <t>沪医药红</t>
  </si>
  <si>
    <t>沪金融红</t>
  </si>
  <si>
    <t>沪信息红</t>
  </si>
  <si>
    <t>沪通信红</t>
  </si>
  <si>
    <t>沪公用红</t>
  </si>
  <si>
    <t>沪绿色城</t>
  </si>
  <si>
    <t>沪城交通</t>
  </si>
  <si>
    <t>沪城消费</t>
  </si>
  <si>
    <t>沪城基建</t>
  </si>
  <si>
    <t>沪智交通</t>
  </si>
  <si>
    <t>上证军工</t>
  </si>
  <si>
    <t>上证城镇</t>
  </si>
  <si>
    <t>沪智慧城</t>
  </si>
  <si>
    <t>上证TMT</t>
  </si>
  <si>
    <t>上红低波</t>
  </si>
  <si>
    <t>上红价值</t>
  </si>
  <si>
    <t>上证养老</t>
  </si>
  <si>
    <t>上证健康</t>
  </si>
  <si>
    <t>180两倍</t>
  </si>
  <si>
    <t>180反向</t>
  </si>
  <si>
    <t>180反两</t>
  </si>
  <si>
    <t>上国改革</t>
  </si>
  <si>
    <t>上证移动</t>
  </si>
  <si>
    <t>上证休闲</t>
  </si>
  <si>
    <t>沪大农业</t>
  </si>
  <si>
    <t>沪智家居</t>
  </si>
  <si>
    <t>180动量</t>
  </si>
  <si>
    <t>380动量</t>
  </si>
  <si>
    <t>180ERC</t>
  </si>
  <si>
    <t>380ERC</t>
  </si>
  <si>
    <t>港股通</t>
  </si>
  <si>
    <t>沪深300净收益</t>
  </si>
  <si>
    <t>科创50(净)</t>
  </si>
  <si>
    <t>中证500净收益</t>
  </si>
  <si>
    <t>沪港精明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</si>
</sst>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3"/>
  <sheetViews>
    <sheetView tabSelected="1" zoomScaleSheetLayoutView="60" topLeftCell="A1072" workbookViewId="0">
      <selection activeCell="B876" sqref="B876"/>
    </sheetView>
  </sheetViews>
  <sheetFormatPr defaultColWidth="9" defaultRowHeight="13.5" outlineLevelCol="2"/>
  <cols>
    <col min="1" max="1" width="10.375" customWidth="1"/>
    <col min="2" max="2" width="14.25" customWidth="1"/>
  </cols>
  <sheetData>
    <row r="1" spans="1:3">
      <c r="A1" t="s">
        <v>0</v>
      </c>
      <c r="B1" t="s">
        <v>1</v>
      </c>
      <c r="C1" t="s">
        <v>2</v>
      </c>
    </row>
    <row r="2" spans="1:2">
      <c r="A2" t="str">
        <f>"000171"</f>
        <v>000171</v>
      </c>
      <c r="B2" t="s">
        <v>3</v>
      </c>
    </row>
    <row r="3" spans="1:2">
      <c r="A3" t="str">
        <f>"000300"</f>
        <v>000300</v>
      </c>
      <c r="B3" t="s">
        <v>4</v>
      </c>
    </row>
    <row r="4" spans="1:2">
      <c r="A4" t="str">
        <f>"000801"</f>
        <v>000801</v>
      </c>
      <c r="B4" t="s">
        <v>5</v>
      </c>
    </row>
    <row r="5" spans="1:2">
      <c r="A5" t="str">
        <f>"000803"</f>
        <v>000803</v>
      </c>
      <c r="B5" t="s">
        <v>6</v>
      </c>
    </row>
    <row r="6" spans="1:2">
      <c r="A6" t="str">
        <f>"000804"</f>
        <v>000804</v>
      </c>
      <c r="B6" t="s">
        <v>7</v>
      </c>
    </row>
    <row r="7" spans="1:2">
      <c r="A7" t="str">
        <f>"000805"</f>
        <v>000805</v>
      </c>
      <c r="B7" t="s">
        <v>8</v>
      </c>
    </row>
    <row r="8" spans="1:2">
      <c r="A8" t="str">
        <f>"000806"</f>
        <v>000806</v>
      </c>
      <c r="B8" t="s">
        <v>9</v>
      </c>
    </row>
    <row r="9" spans="1:2">
      <c r="A9" t="str">
        <f>"000807"</f>
        <v>000807</v>
      </c>
      <c r="B9" t="s">
        <v>10</v>
      </c>
    </row>
    <row r="10" spans="1:2">
      <c r="A10" t="str">
        <f>"000808"</f>
        <v>000808</v>
      </c>
      <c r="B10" t="s">
        <v>11</v>
      </c>
    </row>
    <row r="11" spans="1:2">
      <c r="A11" t="str">
        <f>"000810"</f>
        <v>000810</v>
      </c>
      <c r="B11" t="s">
        <v>12</v>
      </c>
    </row>
    <row r="12" spans="1:2">
      <c r="A12" t="str">
        <f>"000811"</f>
        <v>000811</v>
      </c>
      <c r="B12" t="s">
        <v>13</v>
      </c>
    </row>
    <row r="13" spans="1:2">
      <c r="A13" t="str">
        <f>"000812"</f>
        <v>000812</v>
      </c>
      <c r="B13" t="s">
        <v>14</v>
      </c>
    </row>
    <row r="14" spans="1:2">
      <c r="A14" t="str">
        <f>"000813"</f>
        <v>000813</v>
      </c>
      <c r="B14" t="s">
        <v>15</v>
      </c>
    </row>
    <row r="15" spans="1:2">
      <c r="A15" t="str">
        <f>"000814"</f>
        <v>000814</v>
      </c>
      <c r="B15" t="s">
        <v>16</v>
      </c>
    </row>
    <row r="16" spans="1:2">
      <c r="A16" t="str">
        <f>"000815"</f>
        <v>000815</v>
      </c>
      <c r="B16" t="s">
        <v>17</v>
      </c>
    </row>
    <row r="17" spans="1:2">
      <c r="A17" t="str">
        <f>"000816"</f>
        <v>000816</v>
      </c>
      <c r="B17" t="s">
        <v>18</v>
      </c>
    </row>
    <row r="18" spans="1:2">
      <c r="A18" t="str">
        <f>"000818"</f>
        <v>000818</v>
      </c>
      <c r="B18" t="s">
        <v>19</v>
      </c>
    </row>
    <row r="19" spans="1:2">
      <c r="A19" t="str">
        <f>"000819"</f>
        <v>000819</v>
      </c>
      <c r="B19" t="s">
        <v>20</v>
      </c>
    </row>
    <row r="20" spans="1:2">
      <c r="A20" t="str">
        <f>"000820"</f>
        <v>000820</v>
      </c>
      <c r="B20" t="s">
        <v>21</v>
      </c>
    </row>
    <row r="21" spans="1:2">
      <c r="A21" t="str">
        <f>"000821"</f>
        <v>000821</v>
      </c>
      <c r="B21" t="s">
        <v>22</v>
      </c>
    </row>
    <row r="22" spans="1:2">
      <c r="A22" t="str">
        <f>"000822"</f>
        <v>000822</v>
      </c>
      <c r="B22" t="s">
        <v>23</v>
      </c>
    </row>
    <row r="23" spans="1:2">
      <c r="A23" t="str">
        <f>"000824"</f>
        <v>000824</v>
      </c>
      <c r="B23" t="s">
        <v>24</v>
      </c>
    </row>
    <row r="24" spans="1:2">
      <c r="A24" t="str">
        <f>"000825"</f>
        <v>000825</v>
      </c>
      <c r="B24" t="s">
        <v>25</v>
      </c>
    </row>
    <row r="25" spans="1:2">
      <c r="A25" t="str">
        <f>"000826"</f>
        <v>000826</v>
      </c>
      <c r="B25" t="s">
        <v>26</v>
      </c>
    </row>
    <row r="26" spans="1:2">
      <c r="A26" t="str">
        <f>"000827"</f>
        <v>000827</v>
      </c>
      <c r="B26" t="s">
        <v>27</v>
      </c>
    </row>
    <row r="27" spans="1:2">
      <c r="A27" t="str">
        <f>"000828"</f>
        <v>000828</v>
      </c>
      <c r="B27" t="s">
        <v>28</v>
      </c>
    </row>
    <row r="28" spans="1:2">
      <c r="A28" t="str">
        <f>"000829"</f>
        <v>000829</v>
      </c>
      <c r="B28" t="s">
        <v>29</v>
      </c>
    </row>
    <row r="29" spans="1:2">
      <c r="A29" t="str">
        <f>"000830"</f>
        <v>000830</v>
      </c>
      <c r="B29" t="s">
        <v>30</v>
      </c>
    </row>
    <row r="30" spans="1:2">
      <c r="A30" t="str">
        <f>"000831"</f>
        <v>000831</v>
      </c>
      <c r="B30" t="s">
        <v>31</v>
      </c>
    </row>
    <row r="31" spans="1:2">
      <c r="A31" t="str">
        <f>"000832"</f>
        <v>000832</v>
      </c>
      <c r="B31" t="s">
        <v>32</v>
      </c>
    </row>
    <row r="32" spans="1:2">
      <c r="A32" t="str">
        <f>"000833"</f>
        <v>000833</v>
      </c>
      <c r="B32" t="s">
        <v>33</v>
      </c>
    </row>
    <row r="33" spans="1:2">
      <c r="A33" t="str">
        <f>"000838"</f>
        <v>000838</v>
      </c>
      <c r="B33" t="s">
        <v>34</v>
      </c>
    </row>
    <row r="34" spans="1:2">
      <c r="A34" t="str">
        <f>"000839"</f>
        <v>000839</v>
      </c>
      <c r="B34" t="s">
        <v>35</v>
      </c>
    </row>
    <row r="35" spans="1:2">
      <c r="A35" t="str">
        <f>"000840"</f>
        <v>000840</v>
      </c>
      <c r="B35" t="s">
        <v>36</v>
      </c>
    </row>
    <row r="36" spans="1:2">
      <c r="A36" t="str">
        <f>"000841"</f>
        <v>000841</v>
      </c>
      <c r="B36" t="s">
        <v>37</v>
      </c>
    </row>
    <row r="37" spans="1:2">
      <c r="A37" t="str">
        <f>"000842"</f>
        <v>000842</v>
      </c>
      <c r="B37" t="s">
        <v>38</v>
      </c>
    </row>
    <row r="38" spans="1:2">
      <c r="A38" t="str">
        <f>"000843"</f>
        <v>000843</v>
      </c>
      <c r="B38" t="s">
        <v>39</v>
      </c>
    </row>
    <row r="39" spans="1:2">
      <c r="A39" t="str">
        <f>"000844"</f>
        <v>000844</v>
      </c>
      <c r="B39" t="s">
        <v>40</v>
      </c>
    </row>
    <row r="40" spans="1:2">
      <c r="A40" t="str">
        <f>"000846"</f>
        <v>000846</v>
      </c>
      <c r="B40" t="s">
        <v>41</v>
      </c>
    </row>
    <row r="41" spans="1:2">
      <c r="A41" t="str">
        <f>"000852"</f>
        <v>000852</v>
      </c>
      <c r="B41" t="s">
        <v>42</v>
      </c>
    </row>
    <row r="42" spans="1:2">
      <c r="A42" t="str">
        <f>"000855"</f>
        <v>000855</v>
      </c>
      <c r="B42" t="s">
        <v>43</v>
      </c>
    </row>
    <row r="43" spans="1:2">
      <c r="A43" t="str">
        <f>"000859"</f>
        <v>000859</v>
      </c>
      <c r="B43" t="s">
        <v>44</v>
      </c>
    </row>
    <row r="44" spans="1:2">
      <c r="A44" t="str">
        <f>"000860"</f>
        <v>000860</v>
      </c>
      <c r="B44" t="s">
        <v>45</v>
      </c>
    </row>
    <row r="45" spans="1:2">
      <c r="A45" t="str">
        <f>"000861"</f>
        <v>000861</v>
      </c>
      <c r="B45" t="s">
        <v>46</v>
      </c>
    </row>
    <row r="46" spans="1:2">
      <c r="A46" t="str">
        <f>"000891"</f>
        <v>000891</v>
      </c>
      <c r="B46" t="s">
        <v>47</v>
      </c>
    </row>
    <row r="47" spans="1:2">
      <c r="A47" t="str">
        <f>"000902"</f>
        <v>000902</v>
      </c>
      <c r="B47" t="s">
        <v>48</v>
      </c>
    </row>
    <row r="48" spans="1:2">
      <c r="A48" t="str">
        <f>"000903"</f>
        <v>000903</v>
      </c>
      <c r="B48" t="s">
        <v>49</v>
      </c>
    </row>
    <row r="49" spans="1:2">
      <c r="A49" t="str">
        <f>"000904"</f>
        <v>000904</v>
      </c>
      <c r="B49" t="s">
        <v>50</v>
      </c>
    </row>
    <row r="50" spans="1:2">
      <c r="A50" t="str">
        <f>"000905"</f>
        <v>000905</v>
      </c>
      <c r="B50" t="s">
        <v>51</v>
      </c>
    </row>
    <row r="51" spans="1:2">
      <c r="A51" t="str">
        <f>"000906"</f>
        <v>000906</v>
      </c>
      <c r="B51" t="s">
        <v>52</v>
      </c>
    </row>
    <row r="52" spans="1:2">
      <c r="A52" t="str">
        <f>"000907"</f>
        <v>000907</v>
      </c>
      <c r="B52" t="s">
        <v>53</v>
      </c>
    </row>
    <row r="53" spans="1:2">
      <c r="A53" t="str">
        <f>"000908"</f>
        <v>000908</v>
      </c>
      <c r="B53" t="s">
        <v>54</v>
      </c>
    </row>
    <row r="54" spans="1:2">
      <c r="A54" t="str">
        <f>"000909"</f>
        <v>000909</v>
      </c>
      <c r="B54" t="s">
        <v>55</v>
      </c>
    </row>
    <row r="55" spans="1:2">
      <c r="A55" t="str">
        <f>"000910"</f>
        <v>000910</v>
      </c>
      <c r="B55" t="s">
        <v>56</v>
      </c>
    </row>
    <row r="56" spans="1:2">
      <c r="A56" t="str">
        <f>"000911"</f>
        <v>000911</v>
      </c>
      <c r="B56" t="s">
        <v>57</v>
      </c>
    </row>
    <row r="57" spans="1:2">
      <c r="A57" t="str">
        <f>"000912"</f>
        <v>000912</v>
      </c>
      <c r="B57" t="s">
        <v>58</v>
      </c>
    </row>
    <row r="58" spans="1:2">
      <c r="A58" t="str">
        <f>"000913"</f>
        <v>000913</v>
      </c>
      <c r="B58" t="s">
        <v>59</v>
      </c>
    </row>
    <row r="59" spans="1:2">
      <c r="A59" t="str">
        <f>"000914"</f>
        <v>000914</v>
      </c>
      <c r="B59" t="s">
        <v>60</v>
      </c>
    </row>
    <row r="60" spans="1:2">
      <c r="A60" t="str">
        <f>"000915"</f>
        <v>000915</v>
      </c>
      <c r="B60" t="s">
        <v>61</v>
      </c>
    </row>
    <row r="61" spans="1:2">
      <c r="A61" t="str">
        <f>"000916"</f>
        <v>000916</v>
      </c>
      <c r="B61" t="s">
        <v>62</v>
      </c>
    </row>
    <row r="62" spans="1:2">
      <c r="A62" t="str">
        <f>"000917"</f>
        <v>000917</v>
      </c>
      <c r="B62" t="s">
        <v>63</v>
      </c>
    </row>
    <row r="63" spans="1:2">
      <c r="A63" t="str">
        <f>"000918"</f>
        <v>000918</v>
      </c>
      <c r="B63" t="s">
        <v>64</v>
      </c>
    </row>
    <row r="64" spans="1:2">
      <c r="A64" t="str">
        <f>"000919"</f>
        <v>000919</v>
      </c>
      <c r="B64" t="s">
        <v>65</v>
      </c>
    </row>
    <row r="65" spans="1:2">
      <c r="A65" t="str">
        <f>"000920"</f>
        <v>000920</v>
      </c>
      <c r="B65" t="s">
        <v>66</v>
      </c>
    </row>
    <row r="66" spans="1:2">
      <c r="A66" t="str">
        <f>"000921"</f>
        <v>000921</v>
      </c>
      <c r="B66" t="s">
        <v>67</v>
      </c>
    </row>
    <row r="67" spans="1:2">
      <c r="A67" t="str">
        <f>"000922"</f>
        <v>000922</v>
      </c>
      <c r="B67" t="s">
        <v>68</v>
      </c>
    </row>
    <row r="68" spans="1:2">
      <c r="A68" t="str">
        <f>"000923"</f>
        <v>000923</v>
      </c>
      <c r="B68" t="s">
        <v>69</v>
      </c>
    </row>
    <row r="69" spans="1:2">
      <c r="A69" t="str">
        <f>"000925"</f>
        <v>000925</v>
      </c>
      <c r="B69" t="s">
        <v>70</v>
      </c>
    </row>
    <row r="70" spans="1:2">
      <c r="A70" t="str">
        <f>"000926"</f>
        <v>000926</v>
      </c>
      <c r="B70" t="s">
        <v>71</v>
      </c>
    </row>
    <row r="71" spans="1:2">
      <c r="A71" t="str">
        <f>"000927"</f>
        <v>000927</v>
      </c>
      <c r="B71" t="s">
        <v>72</v>
      </c>
    </row>
    <row r="72" spans="1:2">
      <c r="A72" t="str">
        <f>"000928"</f>
        <v>000928</v>
      </c>
      <c r="B72" t="s">
        <v>73</v>
      </c>
    </row>
    <row r="73" spans="1:2">
      <c r="A73" t="str">
        <f>"000929"</f>
        <v>000929</v>
      </c>
      <c r="B73" t="s">
        <v>74</v>
      </c>
    </row>
    <row r="74" spans="1:2">
      <c r="A74" t="str">
        <f>"000930"</f>
        <v>000930</v>
      </c>
      <c r="B74" t="s">
        <v>75</v>
      </c>
    </row>
    <row r="75" spans="1:2">
      <c r="A75" t="str">
        <f>"000931"</f>
        <v>000931</v>
      </c>
      <c r="B75" t="s">
        <v>76</v>
      </c>
    </row>
    <row r="76" spans="1:2">
      <c r="A76" t="str">
        <f>"000932"</f>
        <v>000932</v>
      </c>
      <c r="B76" t="s">
        <v>77</v>
      </c>
    </row>
    <row r="77" spans="1:2">
      <c r="A77" t="str">
        <f>"000933"</f>
        <v>000933</v>
      </c>
      <c r="B77" t="s">
        <v>78</v>
      </c>
    </row>
    <row r="78" spans="1:2">
      <c r="A78" t="str">
        <f>"000934"</f>
        <v>000934</v>
      </c>
      <c r="B78" t="s">
        <v>79</v>
      </c>
    </row>
    <row r="79" spans="1:2">
      <c r="A79" t="str">
        <f>"000935"</f>
        <v>000935</v>
      </c>
      <c r="B79" t="s">
        <v>80</v>
      </c>
    </row>
    <row r="80" spans="1:2">
      <c r="A80" t="str">
        <f>"000936"</f>
        <v>000936</v>
      </c>
      <c r="B80" t="s">
        <v>81</v>
      </c>
    </row>
    <row r="81" spans="1:2">
      <c r="A81" t="str">
        <f>"000937"</f>
        <v>000937</v>
      </c>
      <c r="B81" t="s">
        <v>82</v>
      </c>
    </row>
    <row r="82" spans="1:2">
      <c r="A82" t="str">
        <f>"000938"</f>
        <v>000938</v>
      </c>
      <c r="B82" t="s">
        <v>83</v>
      </c>
    </row>
    <row r="83" spans="1:2">
      <c r="A83" t="str">
        <f>"000939"</f>
        <v>000939</v>
      </c>
      <c r="B83" t="s">
        <v>84</v>
      </c>
    </row>
    <row r="84" spans="1:2">
      <c r="A84" t="str">
        <f>"000940"</f>
        <v>000940</v>
      </c>
      <c r="B84" t="s">
        <v>85</v>
      </c>
    </row>
    <row r="85" spans="1:2">
      <c r="A85" t="str">
        <f>"000941"</f>
        <v>000941</v>
      </c>
      <c r="B85" t="s">
        <v>86</v>
      </c>
    </row>
    <row r="86" spans="1:2">
      <c r="A86" t="str">
        <f>"000942"</f>
        <v>000942</v>
      </c>
      <c r="B86" t="s">
        <v>87</v>
      </c>
    </row>
    <row r="87" spans="1:2">
      <c r="A87" t="str">
        <f>"000943"</f>
        <v>000943</v>
      </c>
      <c r="B87" t="s">
        <v>88</v>
      </c>
    </row>
    <row r="88" spans="1:2">
      <c r="A88" t="str">
        <f>"000944"</f>
        <v>000944</v>
      </c>
      <c r="B88" t="s">
        <v>89</v>
      </c>
    </row>
    <row r="89" spans="1:2">
      <c r="A89" t="str">
        <f>"000945"</f>
        <v>000945</v>
      </c>
      <c r="B89" t="s">
        <v>90</v>
      </c>
    </row>
    <row r="90" spans="1:2">
      <c r="A90" t="str">
        <f>"000947"</f>
        <v>000947</v>
      </c>
      <c r="B90" t="s">
        <v>91</v>
      </c>
    </row>
    <row r="91" spans="1:2">
      <c r="A91" t="str">
        <f>"000948"</f>
        <v>000948</v>
      </c>
      <c r="B91" t="s">
        <v>92</v>
      </c>
    </row>
    <row r="92" spans="1:2">
      <c r="A92" t="str">
        <f>"000949"</f>
        <v>000949</v>
      </c>
      <c r="B92" t="s">
        <v>93</v>
      </c>
    </row>
    <row r="93" spans="1:2">
      <c r="A93" t="str">
        <f>"000950"</f>
        <v>000950</v>
      </c>
      <c r="B93" t="s">
        <v>94</v>
      </c>
    </row>
    <row r="94" spans="1:2">
      <c r="A94" t="str">
        <f>"000951"</f>
        <v>000951</v>
      </c>
      <c r="B94" t="s">
        <v>95</v>
      </c>
    </row>
    <row r="95" spans="1:2">
      <c r="A95" t="str">
        <f>"000952"</f>
        <v>000952</v>
      </c>
      <c r="B95" t="s">
        <v>96</v>
      </c>
    </row>
    <row r="96" spans="1:2">
      <c r="A96" t="str">
        <f>"000953"</f>
        <v>000953</v>
      </c>
      <c r="B96" t="s">
        <v>97</v>
      </c>
    </row>
    <row r="97" spans="1:2">
      <c r="A97" t="str">
        <f>"000954"</f>
        <v>000954</v>
      </c>
      <c r="B97" t="s">
        <v>98</v>
      </c>
    </row>
    <row r="98" spans="1:2">
      <c r="A98" t="str">
        <f>"000955"</f>
        <v>000955</v>
      </c>
      <c r="B98" t="s">
        <v>99</v>
      </c>
    </row>
    <row r="99" spans="1:2">
      <c r="A99" t="str">
        <f>"000956"</f>
        <v>000956</v>
      </c>
      <c r="B99" t="s">
        <v>100</v>
      </c>
    </row>
    <row r="100" spans="1:2">
      <c r="A100" t="str">
        <f>"000957"</f>
        <v>000957</v>
      </c>
      <c r="B100" t="s">
        <v>101</v>
      </c>
    </row>
    <row r="101" spans="1:2">
      <c r="A101" t="str">
        <f>"000958"</f>
        <v>000958</v>
      </c>
      <c r="B101" t="s">
        <v>102</v>
      </c>
    </row>
    <row r="102" spans="1:2">
      <c r="A102" t="str">
        <f>"000959"</f>
        <v>000959</v>
      </c>
      <c r="B102" t="s">
        <v>103</v>
      </c>
    </row>
    <row r="103" spans="1:2">
      <c r="A103" t="str">
        <f>"000961"</f>
        <v>000961</v>
      </c>
      <c r="B103" t="s">
        <v>104</v>
      </c>
    </row>
    <row r="104" spans="1:2">
      <c r="A104" t="str">
        <f>"000962"</f>
        <v>000962</v>
      </c>
      <c r="B104" t="s">
        <v>105</v>
      </c>
    </row>
    <row r="105" spans="1:2">
      <c r="A105" t="str">
        <f>"000963"</f>
        <v>000963</v>
      </c>
      <c r="B105" t="s">
        <v>106</v>
      </c>
    </row>
    <row r="106" spans="1:2">
      <c r="A106" t="str">
        <f>"000964"</f>
        <v>000964</v>
      </c>
      <c r="B106" t="s">
        <v>107</v>
      </c>
    </row>
    <row r="107" spans="1:2">
      <c r="A107" t="str">
        <f>"000965"</f>
        <v>000965</v>
      </c>
      <c r="B107" t="s">
        <v>108</v>
      </c>
    </row>
    <row r="108" spans="1:2">
      <c r="A108" t="str">
        <f>"000966"</f>
        <v>000966</v>
      </c>
      <c r="B108" t="s">
        <v>109</v>
      </c>
    </row>
    <row r="109" spans="1:2">
      <c r="A109" t="str">
        <f>"000967"</f>
        <v>000967</v>
      </c>
      <c r="B109" t="s">
        <v>110</v>
      </c>
    </row>
    <row r="110" spans="1:2">
      <c r="A110" t="str">
        <f>"000968"</f>
        <v>000968</v>
      </c>
      <c r="B110" t="s">
        <v>111</v>
      </c>
    </row>
    <row r="111" spans="1:2">
      <c r="A111" t="str">
        <f>"000969"</f>
        <v>000969</v>
      </c>
      <c r="B111" t="s">
        <v>112</v>
      </c>
    </row>
    <row r="112" spans="1:2">
      <c r="A112" t="str">
        <f>"000971"</f>
        <v>000971</v>
      </c>
      <c r="B112" t="s">
        <v>113</v>
      </c>
    </row>
    <row r="113" spans="1:2">
      <c r="A113" t="str">
        <f>"000972"</f>
        <v>000972</v>
      </c>
      <c r="B113" t="s">
        <v>114</v>
      </c>
    </row>
    <row r="114" spans="1:2">
      <c r="A114" t="str">
        <f>"000975"</f>
        <v>000975</v>
      </c>
      <c r="B114" t="s">
        <v>115</v>
      </c>
    </row>
    <row r="115" spans="1:2">
      <c r="A115" t="str">
        <f>"000977"</f>
        <v>000977</v>
      </c>
      <c r="B115" t="s">
        <v>116</v>
      </c>
    </row>
    <row r="116" spans="1:2">
      <c r="A116" t="str">
        <f>"000978"</f>
        <v>000978</v>
      </c>
      <c r="B116" t="s">
        <v>117</v>
      </c>
    </row>
    <row r="117" spans="1:2">
      <c r="A117" t="str">
        <f>"000979"</f>
        <v>000979</v>
      </c>
      <c r="B117" t="s">
        <v>118</v>
      </c>
    </row>
    <row r="118" spans="1:2">
      <c r="A118" t="str">
        <f>"000980"</f>
        <v>000980</v>
      </c>
      <c r="B118" t="s">
        <v>119</v>
      </c>
    </row>
    <row r="119" spans="1:2">
      <c r="A119" t="str">
        <f>"000981"</f>
        <v>000981</v>
      </c>
      <c r="B119" t="s">
        <v>120</v>
      </c>
    </row>
    <row r="120" spans="1:2">
      <c r="A120" t="str">
        <f>"000982"</f>
        <v>000982</v>
      </c>
      <c r="B120" t="s">
        <v>121</v>
      </c>
    </row>
    <row r="121" spans="1:2">
      <c r="A121" t="str">
        <f>"000984"</f>
        <v>000984</v>
      </c>
      <c r="B121" t="s">
        <v>122</v>
      </c>
    </row>
    <row r="122" spans="1:2">
      <c r="A122" t="str">
        <f>"000985"</f>
        <v>000985</v>
      </c>
      <c r="B122" t="s">
        <v>123</v>
      </c>
    </row>
    <row r="123" spans="1:2">
      <c r="A123" t="str">
        <f>"000986"</f>
        <v>000986</v>
      </c>
      <c r="B123" t="s">
        <v>124</v>
      </c>
    </row>
    <row r="124" spans="1:2">
      <c r="A124" t="str">
        <f>"000987"</f>
        <v>000987</v>
      </c>
      <c r="B124" t="s">
        <v>125</v>
      </c>
    </row>
    <row r="125" spans="1:2">
      <c r="A125" t="str">
        <f>"000988"</f>
        <v>000988</v>
      </c>
      <c r="B125" t="s">
        <v>126</v>
      </c>
    </row>
    <row r="126" spans="1:2">
      <c r="A126" t="str">
        <f>"000989"</f>
        <v>000989</v>
      </c>
      <c r="B126" t="s">
        <v>127</v>
      </c>
    </row>
    <row r="127" spans="1:2">
      <c r="A127" t="str">
        <f>"000990"</f>
        <v>000990</v>
      </c>
      <c r="B127" t="s">
        <v>128</v>
      </c>
    </row>
    <row r="128" spans="1:2">
      <c r="A128" t="str">
        <f>"000991"</f>
        <v>000991</v>
      </c>
      <c r="B128" t="s">
        <v>129</v>
      </c>
    </row>
    <row r="129" spans="1:2">
      <c r="A129" t="str">
        <f>"000992"</f>
        <v>000992</v>
      </c>
      <c r="B129" t="s">
        <v>130</v>
      </c>
    </row>
    <row r="130" spans="1:2">
      <c r="A130" t="str">
        <f>"000993"</f>
        <v>000993</v>
      </c>
      <c r="B130" t="s">
        <v>131</v>
      </c>
    </row>
    <row r="131" spans="1:2">
      <c r="A131" t="str">
        <f>"000994"</f>
        <v>000994</v>
      </c>
      <c r="B131" t="s">
        <v>132</v>
      </c>
    </row>
    <row r="132" spans="1:2">
      <c r="A132" t="str">
        <f>"000995"</f>
        <v>000995</v>
      </c>
      <c r="B132" t="s">
        <v>133</v>
      </c>
    </row>
    <row r="133" spans="1:2">
      <c r="A133" t="str">
        <f>"000998"</f>
        <v>000998</v>
      </c>
      <c r="B133" t="s">
        <v>134</v>
      </c>
    </row>
    <row r="134" spans="1:2">
      <c r="A134" t="str">
        <f>"399707"</f>
        <v>399707</v>
      </c>
      <c r="B134" t="s">
        <v>135</v>
      </c>
    </row>
    <row r="135" spans="1:2">
      <c r="A135" t="str">
        <f>"399803"</f>
        <v>399803</v>
      </c>
      <c r="B135" t="s">
        <v>136</v>
      </c>
    </row>
    <row r="136" spans="1:2">
      <c r="A136" t="str">
        <f>"399804"</f>
        <v>399804</v>
      </c>
      <c r="B136" t="s">
        <v>137</v>
      </c>
    </row>
    <row r="137" spans="1:2">
      <c r="A137" t="str">
        <f>"399805"</f>
        <v>399805</v>
      </c>
      <c r="B137" t="s">
        <v>138</v>
      </c>
    </row>
    <row r="138" spans="1:2">
      <c r="A138" t="str">
        <f>"399806"</f>
        <v>399806</v>
      </c>
      <c r="B138" t="s">
        <v>139</v>
      </c>
    </row>
    <row r="139" spans="1:2">
      <c r="A139" t="str">
        <f>"399807"</f>
        <v>399807</v>
      </c>
      <c r="B139" t="s">
        <v>140</v>
      </c>
    </row>
    <row r="140" spans="1:2">
      <c r="A140" t="str">
        <f>"399808"</f>
        <v>399808</v>
      </c>
      <c r="B140" t="s">
        <v>141</v>
      </c>
    </row>
    <row r="141" spans="1:2">
      <c r="A141" t="str">
        <f>"399809"</f>
        <v>399809</v>
      </c>
      <c r="B141" t="s">
        <v>142</v>
      </c>
    </row>
    <row r="142" spans="1:2">
      <c r="A142" t="str">
        <f>"399810"</f>
        <v>399810</v>
      </c>
      <c r="B142" t="s">
        <v>143</v>
      </c>
    </row>
    <row r="143" spans="1:2">
      <c r="A143" t="str">
        <f>"399811"</f>
        <v>399811</v>
      </c>
      <c r="B143" t="s">
        <v>144</v>
      </c>
    </row>
    <row r="144" spans="1:2">
      <c r="A144" t="str">
        <f>"399812"</f>
        <v>399812</v>
      </c>
      <c r="B144" t="s">
        <v>145</v>
      </c>
    </row>
    <row r="145" spans="1:2">
      <c r="A145" t="str">
        <f>"399813"</f>
        <v>399813</v>
      </c>
      <c r="B145" t="s">
        <v>146</v>
      </c>
    </row>
    <row r="146" spans="1:2">
      <c r="A146" t="str">
        <f>"399814"</f>
        <v>399814</v>
      </c>
      <c r="B146" t="s">
        <v>147</v>
      </c>
    </row>
    <row r="147" spans="1:2">
      <c r="A147" t="str">
        <f>"399959"</f>
        <v>399959</v>
      </c>
      <c r="B147" t="s">
        <v>148</v>
      </c>
    </row>
    <row r="148" spans="1:2">
      <c r="A148" t="str">
        <f>"399965"</f>
        <v>399965</v>
      </c>
      <c r="B148" t="s">
        <v>149</v>
      </c>
    </row>
    <row r="149" spans="1:2">
      <c r="A149" t="str">
        <f>"399966"</f>
        <v>399966</v>
      </c>
      <c r="B149" t="s">
        <v>150</v>
      </c>
    </row>
    <row r="150" spans="1:2">
      <c r="A150" t="str">
        <f>"399967"</f>
        <v>399967</v>
      </c>
      <c r="B150" t="s">
        <v>151</v>
      </c>
    </row>
    <row r="151" spans="1:2">
      <c r="A151" t="str">
        <f>"399970"</f>
        <v>399970</v>
      </c>
      <c r="B151" t="s">
        <v>152</v>
      </c>
    </row>
    <row r="152" spans="1:2">
      <c r="A152" t="str">
        <f>"399971"</f>
        <v>399971</v>
      </c>
      <c r="B152" t="s">
        <v>153</v>
      </c>
    </row>
    <row r="153" spans="1:2">
      <c r="A153" t="str">
        <f>"399973"</f>
        <v>399973</v>
      </c>
      <c r="B153" t="s">
        <v>154</v>
      </c>
    </row>
    <row r="154" spans="1:2">
      <c r="A154" t="str">
        <f>"399974"</f>
        <v>399974</v>
      </c>
      <c r="B154" t="s">
        <v>155</v>
      </c>
    </row>
    <row r="155" spans="1:2">
      <c r="A155" t="str">
        <f>"399975"</f>
        <v>399975</v>
      </c>
      <c r="B155" t="s">
        <v>156</v>
      </c>
    </row>
    <row r="156" spans="1:2">
      <c r="A156" t="str">
        <f>"399976"</f>
        <v>399976</v>
      </c>
      <c r="B156" t="s">
        <v>157</v>
      </c>
    </row>
    <row r="157" spans="1:2">
      <c r="A157" t="str">
        <f>"399983"</f>
        <v>399983</v>
      </c>
      <c r="B157" t="s">
        <v>158</v>
      </c>
    </row>
    <row r="158" spans="1:2">
      <c r="A158" t="str">
        <f>"399986"</f>
        <v>399986</v>
      </c>
      <c r="B158" t="s">
        <v>159</v>
      </c>
    </row>
    <row r="159" spans="1:2">
      <c r="A159" t="str">
        <f>"399987"</f>
        <v>399987</v>
      </c>
      <c r="B159" t="s">
        <v>160</v>
      </c>
    </row>
    <row r="160" spans="1:2">
      <c r="A160" t="str">
        <f>"399989"</f>
        <v>399989</v>
      </c>
      <c r="B160" t="s">
        <v>161</v>
      </c>
    </row>
    <row r="161" spans="1:2">
      <c r="A161" t="str">
        <f>"399990"</f>
        <v>399990</v>
      </c>
      <c r="B161" t="s">
        <v>162</v>
      </c>
    </row>
    <row r="162" spans="1:2">
      <c r="A162" t="str">
        <f>"399991"</f>
        <v>399991</v>
      </c>
      <c r="B162" t="s">
        <v>163</v>
      </c>
    </row>
    <row r="163" spans="1:2">
      <c r="A163" t="str">
        <f>"399992"</f>
        <v>399992</v>
      </c>
      <c r="B163" t="s">
        <v>164</v>
      </c>
    </row>
    <row r="164" spans="1:2">
      <c r="A164" t="str">
        <f>"399993"</f>
        <v>399993</v>
      </c>
      <c r="B164" t="s">
        <v>165</v>
      </c>
    </row>
    <row r="165" spans="1:2">
      <c r="A165" t="str">
        <f>"399994"</f>
        <v>399994</v>
      </c>
      <c r="B165" t="s">
        <v>166</v>
      </c>
    </row>
    <row r="166" spans="1:2">
      <c r="A166" t="str">
        <f>"399995"</f>
        <v>399995</v>
      </c>
      <c r="B166" t="s">
        <v>167</v>
      </c>
    </row>
    <row r="167" spans="1:2">
      <c r="A167" t="str">
        <f>"399996"</f>
        <v>399996</v>
      </c>
      <c r="B167" t="s">
        <v>168</v>
      </c>
    </row>
    <row r="168" spans="1:2">
      <c r="A168" t="str">
        <f>"399997"</f>
        <v>399997</v>
      </c>
      <c r="B168" t="s">
        <v>169</v>
      </c>
    </row>
    <row r="169" spans="1:2">
      <c r="A169" t="str">
        <f>"399998"</f>
        <v>399998</v>
      </c>
      <c r="B169" t="s">
        <v>170</v>
      </c>
    </row>
    <row r="170" spans="1:2">
      <c r="A170" t="str">
        <f>"930598"</f>
        <v>930598</v>
      </c>
      <c r="B170" t="s">
        <v>171</v>
      </c>
    </row>
    <row r="171" spans="1:2">
      <c r="A171" t="str">
        <f>"930599"</f>
        <v>930599</v>
      </c>
      <c r="B171" t="s">
        <v>172</v>
      </c>
    </row>
    <row r="172" spans="1:2">
      <c r="A172" t="str">
        <f>"930601"</f>
        <v>930601</v>
      </c>
      <c r="B172" t="s">
        <v>173</v>
      </c>
    </row>
    <row r="173" spans="1:2">
      <c r="A173" t="str">
        <f>"930604"</f>
        <v>930604</v>
      </c>
      <c r="B173" t="s">
        <v>174</v>
      </c>
    </row>
    <row r="174" spans="1:2">
      <c r="A174" t="str">
        <f>"930606"</f>
        <v>930606</v>
      </c>
      <c r="B174" t="s">
        <v>175</v>
      </c>
    </row>
    <row r="175" spans="1:2">
      <c r="A175" t="str">
        <f>"930607"</f>
        <v>930607</v>
      </c>
      <c r="B175" t="s">
        <v>176</v>
      </c>
    </row>
    <row r="176" spans="1:2">
      <c r="A176" t="str">
        <f>"930608"</f>
        <v>930608</v>
      </c>
      <c r="B176" t="s">
        <v>177</v>
      </c>
    </row>
    <row r="177" spans="1:2">
      <c r="A177" t="str">
        <f>"930609"</f>
        <v>930609</v>
      </c>
      <c r="B177" t="s">
        <v>178</v>
      </c>
    </row>
    <row r="178" spans="1:2">
      <c r="A178" t="str">
        <f>"930610"</f>
        <v>930610</v>
      </c>
      <c r="B178" t="s">
        <v>179</v>
      </c>
    </row>
    <row r="179" spans="1:2">
      <c r="A179" t="str">
        <f>"930611"</f>
        <v>930611</v>
      </c>
      <c r="B179" t="s">
        <v>180</v>
      </c>
    </row>
    <row r="180" spans="1:2">
      <c r="A180" t="str">
        <f>"930612"</f>
        <v>930612</v>
      </c>
      <c r="B180" t="s">
        <v>181</v>
      </c>
    </row>
    <row r="181" spans="1:2">
      <c r="A181" t="str">
        <f>"930613"</f>
        <v>930613</v>
      </c>
      <c r="B181" t="s">
        <v>182</v>
      </c>
    </row>
    <row r="182" spans="1:2">
      <c r="A182" t="str">
        <f>"930614"</f>
        <v>930614</v>
      </c>
      <c r="B182" t="s">
        <v>183</v>
      </c>
    </row>
    <row r="183" spans="1:2">
      <c r="A183" t="str">
        <f>"930616"</f>
        <v>930616</v>
      </c>
      <c r="B183" t="s">
        <v>184</v>
      </c>
    </row>
    <row r="184" spans="1:2">
      <c r="A184" t="str">
        <f>"930617"</f>
        <v>930617</v>
      </c>
      <c r="B184" t="s">
        <v>185</v>
      </c>
    </row>
    <row r="185" spans="1:2">
      <c r="A185" t="str">
        <f>"930618"</f>
        <v>930618</v>
      </c>
      <c r="B185" t="s">
        <v>186</v>
      </c>
    </row>
    <row r="186" spans="1:2">
      <c r="A186" t="str">
        <f>"930619"</f>
        <v>930619</v>
      </c>
      <c r="B186" t="s">
        <v>187</v>
      </c>
    </row>
    <row r="187" spans="1:2">
      <c r="A187" t="str">
        <f>"930620"</f>
        <v>930620</v>
      </c>
      <c r="B187" t="s">
        <v>188</v>
      </c>
    </row>
    <row r="188" spans="1:2">
      <c r="A188" t="str">
        <f>"930621"</f>
        <v>930621</v>
      </c>
      <c r="B188" t="s">
        <v>189</v>
      </c>
    </row>
    <row r="189" spans="1:2">
      <c r="A189" t="str">
        <f>"930622"</f>
        <v>930622</v>
      </c>
      <c r="B189" t="s">
        <v>190</v>
      </c>
    </row>
    <row r="190" spans="1:2">
      <c r="A190" t="str">
        <f>"930625"</f>
        <v>930625</v>
      </c>
      <c r="B190" t="s">
        <v>191</v>
      </c>
    </row>
    <row r="191" spans="1:2">
      <c r="A191" t="str">
        <f>"930629"</f>
        <v>930629</v>
      </c>
      <c r="B191" t="s">
        <v>192</v>
      </c>
    </row>
    <row r="192" spans="1:2">
      <c r="A192" t="str">
        <f>"930632"</f>
        <v>930632</v>
      </c>
      <c r="B192" t="s">
        <v>193</v>
      </c>
    </row>
    <row r="193" spans="1:2">
      <c r="A193" t="str">
        <f>"930633"</f>
        <v>930633</v>
      </c>
      <c r="B193" t="s">
        <v>194</v>
      </c>
    </row>
    <row r="194" spans="1:2">
      <c r="A194" t="str">
        <f>"930634"</f>
        <v>930634</v>
      </c>
      <c r="B194" t="s">
        <v>195</v>
      </c>
    </row>
    <row r="195" spans="1:2">
      <c r="A195" t="str">
        <f>"930635"</f>
        <v>930635</v>
      </c>
      <c r="B195" t="s">
        <v>196</v>
      </c>
    </row>
    <row r="196" spans="1:2">
      <c r="A196" t="str">
        <f>"930640"</f>
        <v>930640</v>
      </c>
      <c r="B196" t="s">
        <v>197</v>
      </c>
    </row>
    <row r="197" spans="1:2">
      <c r="A197" t="str">
        <f>"930641"</f>
        <v>930641</v>
      </c>
      <c r="B197" t="s">
        <v>198</v>
      </c>
    </row>
    <row r="198" spans="1:2">
      <c r="A198" t="str">
        <f>"930642"</f>
        <v>930642</v>
      </c>
      <c r="B198" t="s">
        <v>199</v>
      </c>
    </row>
    <row r="199" spans="1:2">
      <c r="A199" t="str">
        <f>"930643"</f>
        <v>930643</v>
      </c>
      <c r="B199" t="s">
        <v>200</v>
      </c>
    </row>
    <row r="200" spans="1:2">
      <c r="A200" t="str">
        <f>"930648"</f>
        <v>930648</v>
      </c>
      <c r="B200" t="s">
        <v>201</v>
      </c>
    </row>
    <row r="201" spans="1:2">
      <c r="A201" t="str">
        <f>"930649"</f>
        <v>930649</v>
      </c>
      <c r="B201" t="s">
        <v>202</v>
      </c>
    </row>
    <row r="202" spans="1:2">
      <c r="A202" t="str">
        <f>"930650"</f>
        <v>930650</v>
      </c>
      <c r="B202" t="s">
        <v>203</v>
      </c>
    </row>
    <row r="203" spans="1:2">
      <c r="A203" t="str">
        <f>"930651"</f>
        <v>930651</v>
      </c>
      <c r="B203" t="s">
        <v>204</v>
      </c>
    </row>
    <row r="204" spans="1:2">
      <c r="A204" t="str">
        <f>"930652"</f>
        <v>930652</v>
      </c>
      <c r="B204" t="s">
        <v>205</v>
      </c>
    </row>
    <row r="205" spans="1:2">
      <c r="A205" t="str">
        <f>"930653"</f>
        <v>930653</v>
      </c>
      <c r="B205" t="s">
        <v>206</v>
      </c>
    </row>
    <row r="206" spans="1:2">
      <c r="A206" t="str">
        <f>"930654"</f>
        <v>930654</v>
      </c>
      <c r="B206" t="s">
        <v>207</v>
      </c>
    </row>
    <row r="207" spans="1:2">
      <c r="A207" t="str">
        <f>"930655"</f>
        <v>930655</v>
      </c>
      <c r="B207" t="s">
        <v>208</v>
      </c>
    </row>
    <row r="208" spans="1:2">
      <c r="A208" t="str">
        <f>"930656"</f>
        <v>930656</v>
      </c>
      <c r="B208" t="s">
        <v>209</v>
      </c>
    </row>
    <row r="209" spans="1:2">
      <c r="A209" t="str">
        <f>"930657"</f>
        <v>930657</v>
      </c>
      <c r="B209" t="s">
        <v>210</v>
      </c>
    </row>
    <row r="210" spans="1:2">
      <c r="A210" t="str">
        <f>"930660"</f>
        <v>930660</v>
      </c>
      <c r="B210" t="s">
        <v>211</v>
      </c>
    </row>
    <row r="211" spans="1:2">
      <c r="A211" t="str">
        <f>"930661"</f>
        <v>930661</v>
      </c>
      <c r="B211" t="s">
        <v>212</v>
      </c>
    </row>
    <row r="212" spans="1:2">
      <c r="A212" t="str">
        <f>"930662"</f>
        <v>930662</v>
      </c>
      <c r="B212" t="s">
        <v>213</v>
      </c>
    </row>
    <row r="213" spans="1:2">
      <c r="A213" t="str">
        <f>"930663"</f>
        <v>930663</v>
      </c>
      <c r="B213" t="s">
        <v>214</v>
      </c>
    </row>
    <row r="214" spans="1:2">
      <c r="A214" t="str">
        <f>"930670"</f>
        <v>930670</v>
      </c>
      <c r="B214" t="s">
        <v>215</v>
      </c>
    </row>
    <row r="215" spans="1:2">
      <c r="A215" t="str">
        <f>"930671"</f>
        <v>930671</v>
      </c>
      <c r="B215" t="s">
        <v>216</v>
      </c>
    </row>
    <row r="216" spans="1:2">
      <c r="A216" t="str">
        <f>"930672"</f>
        <v>930672</v>
      </c>
      <c r="B216" t="s">
        <v>217</v>
      </c>
    </row>
    <row r="217" spans="1:2">
      <c r="A217" t="str">
        <f>"930673"</f>
        <v>930673</v>
      </c>
      <c r="B217" t="s">
        <v>218</v>
      </c>
    </row>
    <row r="218" spans="1:2">
      <c r="A218" t="str">
        <f>"930674"</f>
        <v>930674</v>
      </c>
      <c r="B218" t="s">
        <v>219</v>
      </c>
    </row>
    <row r="219" spans="1:2">
      <c r="A219" t="str">
        <f>"930675"</f>
        <v>930675</v>
      </c>
      <c r="B219" t="s">
        <v>220</v>
      </c>
    </row>
    <row r="220" spans="1:2">
      <c r="A220" t="str">
        <f>"930676"</f>
        <v>930676</v>
      </c>
      <c r="B220" t="s">
        <v>221</v>
      </c>
    </row>
    <row r="221" spans="1:2">
      <c r="A221" t="str">
        <f>"930677"</f>
        <v>930677</v>
      </c>
      <c r="B221" t="s">
        <v>222</v>
      </c>
    </row>
    <row r="222" spans="1:2">
      <c r="A222" t="str">
        <f>"930679"</f>
        <v>930679</v>
      </c>
      <c r="B222" t="s">
        <v>223</v>
      </c>
    </row>
    <row r="223" spans="1:2">
      <c r="A223" t="str">
        <f>"930680"</f>
        <v>930680</v>
      </c>
      <c r="B223" t="s">
        <v>224</v>
      </c>
    </row>
    <row r="224" spans="1:2">
      <c r="A224" t="str">
        <f>"930681"</f>
        <v>930681</v>
      </c>
      <c r="B224" t="s">
        <v>225</v>
      </c>
    </row>
    <row r="225" spans="1:2">
      <c r="A225" t="str">
        <f>"930682"</f>
        <v>930682</v>
      </c>
      <c r="B225" t="s">
        <v>226</v>
      </c>
    </row>
    <row r="226" spans="1:2">
      <c r="A226" t="str">
        <f>"930683"</f>
        <v>930683</v>
      </c>
      <c r="B226" t="s">
        <v>227</v>
      </c>
    </row>
    <row r="227" spans="1:2">
      <c r="A227" t="str">
        <f>"930684"</f>
        <v>930684</v>
      </c>
      <c r="B227" t="s">
        <v>228</v>
      </c>
    </row>
    <row r="228" spans="1:2">
      <c r="A228" t="str">
        <f>"930685"</f>
        <v>930685</v>
      </c>
      <c r="B228" t="s">
        <v>229</v>
      </c>
    </row>
    <row r="229" spans="1:2">
      <c r="A229" t="str">
        <f>"930686"</f>
        <v>930686</v>
      </c>
      <c r="B229" t="s">
        <v>230</v>
      </c>
    </row>
    <row r="230" spans="1:2">
      <c r="A230" t="str">
        <f>"930687"</f>
        <v>930687</v>
      </c>
      <c r="B230" t="s">
        <v>231</v>
      </c>
    </row>
    <row r="231" spans="1:2">
      <c r="A231" t="str">
        <f>"930688"</f>
        <v>930688</v>
      </c>
      <c r="B231" t="s">
        <v>232</v>
      </c>
    </row>
    <row r="232" spans="1:2">
      <c r="A232" t="str">
        <f>"930689"</f>
        <v>930689</v>
      </c>
      <c r="B232" t="s">
        <v>233</v>
      </c>
    </row>
    <row r="233" spans="1:2">
      <c r="A233" t="str">
        <f>"930690"</f>
        <v>930690</v>
      </c>
      <c r="B233" t="s">
        <v>234</v>
      </c>
    </row>
    <row r="234" spans="1:2">
      <c r="A234" t="str">
        <f>"930691"</f>
        <v>930691</v>
      </c>
      <c r="B234" t="s">
        <v>235</v>
      </c>
    </row>
    <row r="235" spans="1:2">
      <c r="A235" t="str">
        <f>"930692"</f>
        <v>930692</v>
      </c>
      <c r="B235" t="s">
        <v>236</v>
      </c>
    </row>
    <row r="236" spans="1:2">
      <c r="A236" t="str">
        <f>"930693"</f>
        <v>930693</v>
      </c>
      <c r="B236" t="s">
        <v>237</v>
      </c>
    </row>
    <row r="237" spans="1:2">
      <c r="A237" t="str">
        <f>"930694"</f>
        <v>930694</v>
      </c>
      <c r="B237" t="s">
        <v>238</v>
      </c>
    </row>
    <row r="238" spans="1:2">
      <c r="A238" t="str">
        <f>"930695"</f>
        <v>930695</v>
      </c>
      <c r="B238" t="s">
        <v>239</v>
      </c>
    </row>
    <row r="239" spans="1:2">
      <c r="A239" t="str">
        <f>"930696"</f>
        <v>930696</v>
      </c>
      <c r="B239" t="s">
        <v>240</v>
      </c>
    </row>
    <row r="240" spans="1:2">
      <c r="A240" t="str">
        <f>"930697"</f>
        <v>930697</v>
      </c>
      <c r="B240" t="s">
        <v>241</v>
      </c>
    </row>
    <row r="241" spans="1:2">
      <c r="A241" t="str">
        <f>"930698"</f>
        <v>930698</v>
      </c>
      <c r="B241" t="s">
        <v>242</v>
      </c>
    </row>
    <row r="242" spans="1:2">
      <c r="A242" t="str">
        <f>"930700"</f>
        <v>930700</v>
      </c>
      <c r="B242" t="s">
        <v>243</v>
      </c>
    </row>
    <row r="243" spans="1:2">
      <c r="A243" t="str">
        <f>"930701"</f>
        <v>930701</v>
      </c>
      <c r="B243" t="s">
        <v>244</v>
      </c>
    </row>
    <row r="244" spans="1:2">
      <c r="A244" t="str">
        <f>"930702"</f>
        <v>930702</v>
      </c>
      <c r="B244" t="s">
        <v>245</v>
      </c>
    </row>
    <row r="245" spans="1:2">
      <c r="A245" t="str">
        <f>"930703"</f>
        <v>930703</v>
      </c>
      <c r="B245" t="s">
        <v>246</v>
      </c>
    </row>
    <row r="246" spans="1:2">
      <c r="A246" t="str">
        <f>"930704"</f>
        <v>930704</v>
      </c>
      <c r="B246" t="s">
        <v>247</v>
      </c>
    </row>
    <row r="247" spans="1:2">
      <c r="A247" t="str">
        <f>"930706"</f>
        <v>930706</v>
      </c>
      <c r="B247" t="s">
        <v>248</v>
      </c>
    </row>
    <row r="248" spans="1:2">
      <c r="A248" t="str">
        <f>"930707"</f>
        <v>930707</v>
      </c>
      <c r="B248" t="s">
        <v>249</v>
      </c>
    </row>
    <row r="249" spans="1:2">
      <c r="A249" t="str">
        <f>"930708"</f>
        <v>930708</v>
      </c>
      <c r="B249" t="s">
        <v>250</v>
      </c>
    </row>
    <row r="250" spans="1:2">
      <c r="A250" t="str">
        <f>"930709"</f>
        <v>930709</v>
      </c>
      <c r="B250" t="s">
        <v>251</v>
      </c>
    </row>
    <row r="251" spans="1:2">
      <c r="A251" t="str">
        <f>"930711"</f>
        <v>930711</v>
      </c>
      <c r="B251" t="s">
        <v>252</v>
      </c>
    </row>
    <row r="252" spans="1:2">
      <c r="A252" t="str">
        <f>"930712"</f>
        <v>930712</v>
      </c>
      <c r="B252" t="s">
        <v>253</v>
      </c>
    </row>
    <row r="253" spans="1:2">
      <c r="A253" t="str">
        <f>"930713"</f>
        <v>930713</v>
      </c>
      <c r="B253" t="s">
        <v>254</v>
      </c>
    </row>
    <row r="254" spans="1:2">
      <c r="A254" t="str">
        <f>"930715"</f>
        <v>930715</v>
      </c>
      <c r="B254" t="s">
        <v>255</v>
      </c>
    </row>
    <row r="255" spans="1:2">
      <c r="A255" t="str">
        <f>"930716"</f>
        <v>930716</v>
      </c>
      <c r="B255" t="s">
        <v>256</v>
      </c>
    </row>
    <row r="256" spans="1:2">
      <c r="A256" t="str">
        <f>"930718"</f>
        <v>930718</v>
      </c>
      <c r="B256" t="s">
        <v>257</v>
      </c>
    </row>
    <row r="257" spans="1:2">
      <c r="A257" t="str">
        <f>"930719"</f>
        <v>930719</v>
      </c>
      <c r="B257" t="s">
        <v>258</v>
      </c>
    </row>
    <row r="258" spans="1:2">
      <c r="A258" t="str">
        <f>"930720"</f>
        <v>930720</v>
      </c>
      <c r="B258" t="s">
        <v>259</v>
      </c>
    </row>
    <row r="259" spans="1:2">
      <c r="A259" t="str">
        <f>"930721"</f>
        <v>930721</v>
      </c>
      <c r="B259" t="s">
        <v>260</v>
      </c>
    </row>
    <row r="260" spans="1:2">
      <c r="A260" t="str">
        <f>"930722"</f>
        <v>930722</v>
      </c>
      <c r="B260" t="s">
        <v>261</v>
      </c>
    </row>
    <row r="261" spans="1:2">
      <c r="A261" t="str">
        <f>"930723"</f>
        <v>930723</v>
      </c>
      <c r="B261" t="s">
        <v>262</v>
      </c>
    </row>
    <row r="262" spans="1:2">
      <c r="A262" t="str">
        <f>"930725"</f>
        <v>930725</v>
      </c>
      <c r="B262" t="s">
        <v>263</v>
      </c>
    </row>
    <row r="263" spans="1:2">
      <c r="A263" t="str">
        <f>"930726"</f>
        <v>930726</v>
      </c>
      <c r="B263" t="s">
        <v>264</v>
      </c>
    </row>
    <row r="264" spans="1:2">
      <c r="A264" t="str">
        <f>"930727"</f>
        <v>930727</v>
      </c>
      <c r="B264" t="s">
        <v>265</v>
      </c>
    </row>
    <row r="265" spans="1:2">
      <c r="A265" t="str">
        <f>"930728"</f>
        <v>930728</v>
      </c>
      <c r="B265" t="s">
        <v>266</v>
      </c>
    </row>
    <row r="266" spans="1:2">
      <c r="A266" t="str">
        <f>"930731"</f>
        <v>930731</v>
      </c>
      <c r="B266" t="s">
        <v>267</v>
      </c>
    </row>
    <row r="267" spans="1:2">
      <c r="A267" t="str">
        <f>"930732"</f>
        <v>930732</v>
      </c>
      <c r="B267" t="s">
        <v>268</v>
      </c>
    </row>
    <row r="268" spans="1:2">
      <c r="A268" t="str">
        <f>"930733"</f>
        <v>930733</v>
      </c>
      <c r="B268" t="s">
        <v>269</v>
      </c>
    </row>
    <row r="269" spans="1:2">
      <c r="A269" t="str">
        <f>"930734"</f>
        <v>930734</v>
      </c>
      <c r="B269" t="s">
        <v>270</v>
      </c>
    </row>
    <row r="270" spans="1:2">
      <c r="A270" t="str">
        <f>"930738"</f>
        <v>930738</v>
      </c>
      <c r="B270" t="s">
        <v>271</v>
      </c>
    </row>
    <row r="271" spans="1:2">
      <c r="A271" t="str">
        <f>"930740"</f>
        <v>930740</v>
      </c>
      <c r="B271" t="s">
        <v>272</v>
      </c>
    </row>
    <row r="272" spans="1:2">
      <c r="A272" t="str">
        <f>"930741"</f>
        <v>930741</v>
      </c>
      <c r="B272" t="s">
        <v>273</v>
      </c>
    </row>
    <row r="273" spans="1:2">
      <c r="A273" t="str">
        <f>"930742"</f>
        <v>930742</v>
      </c>
      <c r="B273" t="s">
        <v>274</v>
      </c>
    </row>
    <row r="274" spans="1:2">
      <c r="A274" t="str">
        <f>"930743"</f>
        <v>930743</v>
      </c>
      <c r="B274" t="s">
        <v>275</v>
      </c>
    </row>
    <row r="275" spans="1:2">
      <c r="A275" t="str">
        <f>"930745"</f>
        <v>930745</v>
      </c>
      <c r="B275" t="s">
        <v>276</v>
      </c>
    </row>
    <row r="276" spans="1:2">
      <c r="A276" t="str">
        <f>"930746"</f>
        <v>930746</v>
      </c>
      <c r="B276" t="s">
        <v>277</v>
      </c>
    </row>
    <row r="277" spans="1:2">
      <c r="A277" t="str">
        <f>"930748"</f>
        <v>930748</v>
      </c>
      <c r="B277" t="s">
        <v>278</v>
      </c>
    </row>
    <row r="278" spans="1:2">
      <c r="A278" t="str">
        <f>"930749"</f>
        <v>930749</v>
      </c>
      <c r="B278" t="s">
        <v>279</v>
      </c>
    </row>
    <row r="279" spans="1:2">
      <c r="A279" t="str">
        <f>"930758"</f>
        <v>930758</v>
      </c>
      <c r="B279" t="s">
        <v>280</v>
      </c>
    </row>
    <row r="280" spans="1:2">
      <c r="A280" t="str">
        <f>"930761"</f>
        <v>930761</v>
      </c>
      <c r="B280" t="s">
        <v>281</v>
      </c>
    </row>
    <row r="281" spans="1:2">
      <c r="A281" t="str">
        <f>"930766"</f>
        <v>930766</v>
      </c>
      <c r="B281" t="s">
        <v>282</v>
      </c>
    </row>
    <row r="282" spans="1:2">
      <c r="A282" t="str">
        <f>"930767"</f>
        <v>930767</v>
      </c>
      <c r="B282" t="s">
        <v>283</v>
      </c>
    </row>
    <row r="283" spans="1:2">
      <c r="A283" t="str">
        <f>"930771"</f>
        <v>930771</v>
      </c>
      <c r="B283" t="s">
        <v>284</v>
      </c>
    </row>
    <row r="284" spans="1:2">
      <c r="A284" t="str">
        <f>"930772"</f>
        <v>930772</v>
      </c>
      <c r="B284" t="s">
        <v>285</v>
      </c>
    </row>
    <row r="285" spans="1:2">
      <c r="A285" t="str">
        <f>"930773"</f>
        <v>930773</v>
      </c>
      <c r="B285" t="s">
        <v>286</v>
      </c>
    </row>
    <row r="286" spans="1:2">
      <c r="A286" t="str">
        <f>"930774"</f>
        <v>930774</v>
      </c>
      <c r="B286" t="s">
        <v>287</v>
      </c>
    </row>
    <row r="287" spans="1:2">
      <c r="A287" t="str">
        <f>"930776"</f>
        <v>930776</v>
      </c>
      <c r="B287" t="s">
        <v>288</v>
      </c>
    </row>
    <row r="288" spans="1:2">
      <c r="A288" t="str">
        <f>"930777"</f>
        <v>930777</v>
      </c>
      <c r="B288" t="s">
        <v>289</v>
      </c>
    </row>
    <row r="289" spans="1:2">
      <c r="A289" t="str">
        <f>"930781"</f>
        <v>930781</v>
      </c>
      <c r="B289" t="s">
        <v>290</v>
      </c>
    </row>
    <row r="290" spans="1:2">
      <c r="A290" t="str">
        <f>"930782"</f>
        <v>930782</v>
      </c>
      <c r="B290" t="s">
        <v>291</v>
      </c>
    </row>
    <row r="291" spans="1:2">
      <c r="A291" t="str">
        <f>"930783"</f>
        <v>930783</v>
      </c>
      <c r="B291" t="s">
        <v>292</v>
      </c>
    </row>
    <row r="292" spans="1:2">
      <c r="A292" t="str">
        <f>"930789"</f>
        <v>930789</v>
      </c>
      <c r="B292" t="s">
        <v>293</v>
      </c>
    </row>
    <row r="293" spans="1:2">
      <c r="A293" t="str">
        <f>"930790"</f>
        <v>930790</v>
      </c>
      <c r="B293" t="s">
        <v>294</v>
      </c>
    </row>
    <row r="294" spans="1:2">
      <c r="A294" t="str">
        <f>"930791"</f>
        <v>930791</v>
      </c>
      <c r="B294" t="s">
        <v>295</v>
      </c>
    </row>
    <row r="295" spans="1:2">
      <c r="A295" t="str">
        <f>"930792"</f>
        <v>930792</v>
      </c>
      <c r="B295" t="s">
        <v>296</v>
      </c>
    </row>
    <row r="296" spans="1:2">
      <c r="A296" t="str">
        <f>"930796"</f>
        <v>930796</v>
      </c>
      <c r="B296" t="s">
        <v>297</v>
      </c>
    </row>
    <row r="297" spans="1:2">
      <c r="A297" t="str">
        <f>"930820"</f>
        <v>930820</v>
      </c>
      <c r="B297" t="s">
        <v>298</v>
      </c>
    </row>
    <row r="298" spans="1:2">
      <c r="A298" t="str">
        <f>"930821"</f>
        <v>930821</v>
      </c>
      <c r="B298" t="s">
        <v>299</v>
      </c>
    </row>
    <row r="299" spans="1:2">
      <c r="A299" t="str">
        <f>"930822"</f>
        <v>930822</v>
      </c>
      <c r="B299" t="s">
        <v>300</v>
      </c>
    </row>
    <row r="300" spans="1:2">
      <c r="A300" t="str">
        <f>"930835"</f>
        <v>930835</v>
      </c>
      <c r="B300" t="s">
        <v>301</v>
      </c>
    </row>
    <row r="301" spans="1:2">
      <c r="A301" t="str">
        <f>"930838"</f>
        <v>930838</v>
      </c>
      <c r="B301" t="s">
        <v>302</v>
      </c>
    </row>
    <row r="302" spans="1:2">
      <c r="A302" t="str">
        <f>"930839"</f>
        <v>930839</v>
      </c>
      <c r="B302" t="s">
        <v>303</v>
      </c>
    </row>
    <row r="303" spans="1:2">
      <c r="A303" t="str">
        <f>"930841"</f>
        <v>930841</v>
      </c>
      <c r="B303" t="s">
        <v>304</v>
      </c>
    </row>
    <row r="304" spans="1:2">
      <c r="A304" t="str">
        <f>"930842"</f>
        <v>930842</v>
      </c>
      <c r="B304" t="s">
        <v>305</v>
      </c>
    </row>
    <row r="305" spans="1:2">
      <c r="A305" t="str">
        <f>"930843"</f>
        <v>930843</v>
      </c>
      <c r="B305" t="s">
        <v>306</v>
      </c>
    </row>
    <row r="306" spans="1:2">
      <c r="A306" t="str">
        <f>"930845"</f>
        <v>930845</v>
      </c>
      <c r="B306" t="s">
        <v>307</v>
      </c>
    </row>
    <row r="307" spans="1:2">
      <c r="A307" t="str">
        <f>"930846"</f>
        <v>930846</v>
      </c>
      <c r="B307" t="s">
        <v>308</v>
      </c>
    </row>
    <row r="308" spans="1:2">
      <c r="A308" t="str">
        <f>"930847"</f>
        <v>930847</v>
      </c>
      <c r="B308" t="s">
        <v>309</v>
      </c>
    </row>
    <row r="309" spans="1:2">
      <c r="A309" t="str">
        <f>"930848"</f>
        <v>930848</v>
      </c>
      <c r="B309" t="s">
        <v>310</v>
      </c>
    </row>
    <row r="310" spans="1:2">
      <c r="A310" t="str">
        <f>"930850"</f>
        <v>930850</v>
      </c>
      <c r="B310" t="s">
        <v>311</v>
      </c>
    </row>
    <row r="311" spans="1:2">
      <c r="A311" t="str">
        <f>"930851"</f>
        <v>930851</v>
      </c>
      <c r="B311" t="s">
        <v>312</v>
      </c>
    </row>
    <row r="312" spans="1:2">
      <c r="A312" t="str">
        <f>"930852"</f>
        <v>930852</v>
      </c>
      <c r="B312" t="s">
        <v>313</v>
      </c>
    </row>
    <row r="313" spans="1:2">
      <c r="A313" t="str">
        <f>"930853"</f>
        <v>930853</v>
      </c>
      <c r="B313" t="s">
        <v>314</v>
      </c>
    </row>
    <row r="314" spans="1:2">
      <c r="A314" t="str">
        <f>"930854"</f>
        <v>930854</v>
      </c>
      <c r="B314" t="s">
        <v>315</v>
      </c>
    </row>
    <row r="315" spans="1:2">
      <c r="A315" t="str">
        <f>"930855"</f>
        <v>930855</v>
      </c>
      <c r="B315" t="s">
        <v>316</v>
      </c>
    </row>
    <row r="316" spans="1:2">
      <c r="A316" t="str">
        <f>"930860"</f>
        <v>930860</v>
      </c>
      <c r="B316" t="s">
        <v>317</v>
      </c>
    </row>
    <row r="317" spans="1:2">
      <c r="A317" t="str">
        <f>"930875"</f>
        <v>930875</v>
      </c>
      <c r="B317" t="s">
        <v>318</v>
      </c>
    </row>
    <row r="318" spans="1:2">
      <c r="A318" t="str">
        <f>"930882"</f>
        <v>930882</v>
      </c>
      <c r="B318" t="s">
        <v>319</v>
      </c>
    </row>
    <row r="319" spans="1:2">
      <c r="A319" t="str">
        <f>"930883"</f>
        <v>930883</v>
      </c>
      <c r="B319" t="s">
        <v>320</v>
      </c>
    </row>
    <row r="320" spans="1:2">
      <c r="A320" t="str">
        <f>"930884"</f>
        <v>930884</v>
      </c>
      <c r="B320" t="s">
        <v>321</v>
      </c>
    </row>
    <row r="321" spans="1:2">
      <c r="A321" t="str">
        <f>"930885"</f>
        <v>930885</v>
      </c>
      <c r="B321" t="s">
        <v>322</v>
      </c>
    </row>
    <row r="322" spans="1:2">
      <c r="A322" t="str">
        <f>"930889"</f>
        <v>930889</v>
      </c>
      <c r="B322" t="s">
        <v>323</v>
      </c>
    </row>
    <row r="323" spans="1:2">
      <c r="A323" t="str">
        <f>"930890"</f>
        <v>930890</v>
      </c>
      <c r="B323" t="s">
        <v>324</v>
      </c>
    </row>
    <row r="324" spans="1:2">
      <c r="A324" t="str">
        <f>"930891"</f>
        <v>930891</v>
      </c>
      <c r="B324" t="s">
        <v>325</v>
      </c>
    </row>
    <row r="325" spans="1:2">
      <c r="A325" t="str">
        <f>"930892"</f>
        <v>930892</v>
      </c>
      <c r="B325" t="s">
        <v>326</v>
      </c>
    </row>
    <row r="326" spans="1:2">
      <c r="A326" t="str">
        <f>"930893"</f>
        <v>930893</v>
      </c>
      <c r="B326" t="s">
        <v>327</v>
      </c>
    </row>
    <row r="327" spans="1:2">
      <c r="A327" t="str">
        <f>"930895"</f>
        <v>930895</v>
      </c>
      <c r="B327" t="s">
        <v>328</v>
      </c>
    </row>
    <row r="328" spans="1:2">
      <c r="A328" t="str">
        <f>"930897"</f>
        <v>930897</v>
      </c>
      <c r="B328" t="s">
        <v>329</v>
      </c>
    </row>
    <row r="329" spans="1:2">
      <c r="A329" t="str">
        <f>"930898"</f>
        <v>930898</v>
      </c>
      <c r="B329" t="s">
        <v>330</v>
      </c>
    </row>
    <row r="330" spans="1:2">
      <c r="A330" t="str">
        <f>"930901"</f>
        <v>930901</v>
      </c>
      <c r="B330" t="s">
        <v>331</v>
      </c>
    </row>
    <row r="331" spans="1:2">
      <c r="A331" t="str">
        <f>"930902"</f>
        <v>930902</v>
      </c>
      <c r="B331" t="s">
        <v>332</v>
      </c>
    </row>
    <row r="332" spans="1:2">
      <c r="A332" t="str">
        <f>"930903"</f>
        <v>930903</v>
      </c>
      <c r="B332" t="s">
        <v>333</v>
      </c>
    </row>
    <row r="333" spans="1:2">
      <c r="A333" t="str">
        <f>"930904"</f>
        <v>930904</v>
      </c>
      <c r="B333" t="s">
        <v>334</v>
      </c>
    </row>
    <row r="334" spans="1:2">
      <c r="A334" t="str">
        <f>"930905"</f>
        <v>930905</v>
      </c>
      <c r="B334" t="s">
        <v>335</v>
      </c>
    </row>
    <row r="335" spans="1:2">
      <c r="A335" t="str">
        <f>"930910"</f>
        <v>930910</v>
      </c>
      <c r="B335" t="s">
        <v>336</v>
      </c>
    </row>
    <row r="336" spans="1:2">
      <c r="A336" t="str">
        <f>"930911"</f>
        <v>930911</v>
      </c>
      <c r="B336" t="s">
        <v>337</v>
      </c>
    </row>
    <row r="337" spans="1:2">
      <c r="A337" t="str">
        <f>"930914"</f>
        <v>930914</v>
      </c>
      <c r="B337" t="s">
        <v>338</v>
      </c>
    </row>
    <row r="338" spans="1:2">
      <c r="A338" t="str">
        <f>"930917"</f>
        <v>930917</v>
      </c>
      <c r="B338" t="s">
        <v>339</v>
      </c>
    </row>
    <row r="339" spans="1:2">
      <c r="A339" t="str">
        <f>"930927"</f>
        <v>930927</v>
      </c>
      <c r="B339" t="s">
        <v>340</v>
      </c>
    </row>
    <row r="340" spans="1:2">
      <c r="A340" t="str">
        <f>"930928"</f>
        <v>930928</v>
      </c>
      <c r="B340" t="s">
        <v>341</v>
      </c>
    </row>
    <row r="341" spans="1:2">
      <c r="A341" t="str">
        <f>"930930"</f>
        <v>930930</v>
      </c>
      <c r="B341" t="s">
        <v>342</v>
      </c>
    </row>
    <row r="342" spans="1:2">
      <c r="A342" t="str">
        <f>"930931"</f>
        <v>930931</v>
      </c>
      <c r="B342" t="s">
        <v>343</v>
      </c>
    </row>
    <row r="343" spans="1:2">
      <c r="A343" t="str">
        <f>"930937"</f>
        <v>930937</v>
      </c>
      <c r="B343" t="s">
        <v>344</v>
      </c>
    </row>
    <row r="344" spans="1:2">
      <c r="A344" t="str">
        <f>"930938"</f>
        <v>930938</v>
      </c>
      <c r="B344" t="s">
        <v>345</v>
      </c>
    </row>
    <row r="345" spans="1:2">
      <c r="A345" t="str">
        <f>"930939"</f>
        <v>930939</v>
      </c>
      <c r="B345" t="s">
        <v>346</v>
      </c>
    </row>
    <row r="346" spans="1:2">
      <c r="A346" t="str">
        <f>"930949"</f>
        <v>930949</v>
      </c>
      <c r="B346" t="s">
        <v>347</v>
      </c>
    </row>
    <row r="347" spans="1:2">
      <c r="A347" t="str">
        <f>"930950"</f>
        <v>930950</v>
      </c>
      <c r="B347" t="s">
        <v>348</v>
      </c>
    </row>
    <row r="348" spans="1:2">
      <c r="A348" t="str">
        <f>"930955"</f>
        <v>930955</v>
      </c>
      <c r="B348" t="s">
        <v>349</v>
      </c>
    </row>
    <row r="349" spans="1:2">
      <c r="A349" t="str">
        <f>"930956"</f>
        <v>930956</v>
      </c>
      <c r="B349" t="s">
        <v>350</v>
      </c>
    </row>
    <row r="350" spans="1:2">
      <c r="A350" t="str">
        <f>"930957"</f>
        <v>930957</v>
      </c>
      <c r="B350" t="s">
        <v>351</v>
      </c>
    </row>
    <row r="351" spans="1:2">
      <c r="A351" t="str">
        <f>"930965"</f>
        <v>930965</v>
      </c>
      <c r="B351" t="s">
        <v>352</v>
      </c>
    </row>
    <row r="352" spans="1:2">
      <c r="A352" t="str">
        <f>"930975"</f>
        <v>930975</v>
      </c>
      <c r="B352" t="s">
        <v>353</v>
      </c>
    </row>
    <row r="353" spans="1:2">
      <c r="A353" t="str">
        <f>"930981"</f>
        <v>930981</v>
      </c>
      <c r="B353" t="s">
        <v>354</v>
      </c>
    </row>
    <row r="354" spans="1:2">
      <c r="A354" t="str">
        <f>"930982"</f>
        <v>930982</v>
      </c>
      <c r="B354" t="s">
        <v>355</v>
      </c>
    </row>
    <row r="355" spans="1:2">
      <c r="A355" t="str">
        <f>"930983"</f>
        <v>930983</v>
      </c>
      <c r="B355" t="s">
        <v>356</v>
      </c>
    </row>
    <row r="356" spans="1:2">
      <c r="A356" t="str">
        <f>"930984"</f>
        <v>930984</v>
      </c>
      <c r="B356" t="s">
        <v>357</v>
      </c>
    </row>
    <row r="357" spans="1:2">
      <c r="A357" t="str">
        <f>"930985"</f>
        <v>930985</v>
      </c>
      <c r="B357" t="s">
        <v>358</v>
      </c>
    </row>
    <row r="358" spans="1:2">
      <c r="A358" t="str">
        <f>"930986"</f>
        <v>930986</v>
      </c>
      <c r="B358" t="s">
        <v>359</v>
      </c>
    </row>
    <row r="359" spans="1:2">
      <c r="A359" t="str">
        <f>"930987"</f>
        <v>930987</v>
      </c>
      <c r="B359" t="s">
        <v>360</v>
      </c>
    </row>
    <row r="360" spans="1:2">
      <c r="A360" t="str">
        <f>"930994"</f>
        <v>930994</v>
      </c>
      <c r="B360" t="s">
        <v>361</v>
      </c>
    </row>
    <row r="361" spans="1:2">
      <c r="A361" t="str">
        <f>"930995"</f>
        <v>930995</v>
      </c>
      <c r="B361" t="s">
        <v>362</v>
      </c>
    </row>
    <row r="362" spans="1:2">
      <c r="A362" t="str">
        <f>"930997"</f>
        <v>930997</v>
      </c>
      <c r="B362" t="s">
        <v>363</v>
      </c>
    </row>
    <row r="363" spans="1:2">
      <c r="A363" t="str">
        <f>"930999"</f>
        <v>930999</v>
      </c>
      <c r="B363" t="s">
        <v>364</v>
      </c>
    </row>
    <row r="364" spans="1:2">
      <c r="A364" t="str">
        <f>"931000"</f>
        <v>931000</v>
      </c>
      <c r="B364" t="s">
        <v>365</v>
      </c>
    </row>
    <row r="365" spans="1:2">
      <c r="A365" t="str">
        <f>"931004"</f>
        <v>931004</v>
      </c>
      <c r="B365" t="s">
        <v>366</v>
      </c>
    </row>
    <row r="366" spans="1:2">
      <c r="A366" t="str">
        <f>"931005"</f>
        <v>931005</v>
      </c>
      <c r="B366" t="s">
        <v>367</v>
      </c>
    </row>
    <row r="367" spans="1:2">
      <c r="A367" t="str">
        <f>"931006"</f>
        <v>931006</v>
      </c>
      <c r="B367" t="s">
        <v>368</v>
      </c>
    </row>
    <row r="368" spans="1:2">
      <c r="A368" t="str">
        <f>"931008"</f>
        <v>931008</v>
      </c>
      <c r="B368" t="s">
        <v>369</v>
      </c>
    </row>
    <row r="369" spans="1:2">
      <c r="A369" t="str">
        <f>"931009"</f>
        <v>931009</v>
      </c>
      <c r="B369" t="s">
        <v>370</v>
      </c>
    </row>
    <row r="370" spans="1:2">
      <c r="A370" t="str">
        <f>"931011"</f>
        <v>931011</v>
      </c>
      <c r="B370" t="s">
        <v>371</v>
      </c>
    </row>
    <row r="371" spans="1:2">
      <c r="A371" t="str">
        <f>"931012"</f>
        <v>931012</v>
      </c>
      <c r="B371" t="s">
        <v>372</v>
      </c>
    </row>
    <row r="372" spans="1:2">
      <c r="A372" t="str">
        <f>"931013"</f>
        <v>931013</v>
      </c>
      <c r="B372" t="s">
        <v>373</v>
      </c>
    </row>
    <row r="373" spans="1:2">
      <c r="A373" t="str">
        <f>"931014"</f>
        <v>931014</v>
      </c>
      <c r="B373" t="s">
        <v>374</v>
      </c>
    </row>
    <row r="374" spans="1:2">
      <c r="A374" t="str">
        <f>"931020"</f>
        <v>931020</v>
      </c>
      <c r="B374" t="s">
        <v>375</v>
      </c>
    </row>
    <row r="375" spans="1:2">
      <c r="A375" t="str">
        <f>"931021"</f>
        <v>931021</v>
      </c>
      <c r="B375" t="s">
        <v>376</v>
      </c>
    </row>
    <row r="376" spans="1:2">
      <c r="A376" t="str">
        <f>"931022"</f>
        <v>931022</v>
      </c>
      <c r="B376" t="s">
        <v>377</v>
      </c>
    </row>
    <row r="377" spans="1:2">
      <c r="A377" t="str">
        <f>"931023"</f>
        <v>931023</v>
      </c>
      <c r="B377" t="s">
        <v>378</v>
      </c>
    </row>
    <row r="378" spans="1:2">
      <c r="A378" t="str">
        <f>"931024"</f>
        <v>931024</v>
      </c>
      <c r="B378" t="s">
        <v>379</v>
      </c>
    </row>
    <row r="379" spans="1:2">
      <c r="A379" t="str">
        <f>"931025"</f>
        <v>931025</v>
      </c>
      <c r="B379" t="s">
        <v>380</v>
      </c>
    </row>
    <row r="380" spans="1:2">
      <c r="A380" t="str">
        <f>"931026"</f>
        <v>931026</v>
      </c>
      <c r="B380" t="s">
        <v>381</v>
      </c>
    </row>
    <row r="381" spans="1:2">
      <c r="A381" t="str">
        <f>"931027"</f>
        <v>931027</v>
      </c>
      <c r="B381" t="s">
        <v>382</v>
      </c>
    </row>
    <row r="382" spans="1:2">
      <c r="A382" t="str">
        <f>"931032"</f>
        <v>931032</v>
      </c>
      <c r="B382" t="s">
        <v>383</v>
      </c>
    </row>
    <row r="383" spans="1:2">
      <c r="A383" t="str">
        <f>"931033"</f>
        <v>931033</v>
      </c>
      <c r="B383" t="s">
        <v>384</v>
      </c>
    </row>
    <row r="384" spans="1:2">
      <c r="A384" t="str">
        <f>"931037"</f>
        <v>931037</v>
      </c>
      <c r="B384" t="s">
        <v>385</v>
      </c>
    </row>
    <row r="385" spans="1:2">
      <c r="A385" t="str">
        <f>"931039"</f>
        <v>931039</v>
      </c>
      <c r="B385" t="s">
        <v>386</v>
      </c>
    </row>
    <row r="386" spans="1:2">
      <c r="A386" t="str">
        <f>"931052"</f>
        <v>931052</v>
      </c>
      <c r="B386" t="s">
        <v>387</v>
      </c>
    </row>
    <row r="387" spans="1:2">
      <c r="A387" t="str">
        <f>"931053"</f>
        <v>931053</v>
      </c>
      <c r="B387" t="s">
        <v>388</v>
      </c>
    </row>
    <row r="388" spans="1:2">
      <c r="A388" t="str">
        <f>"931054"</f>
        <v>931054</v>
      </c>
      <c r="B388" t="s">
        <v>389</v>
      </c>
    </row>
    <row r="389" spans="1:2">
      <c r="A389" t="str">
        <f>"931055"</f>
        <v>931055</v>
      </c>
      <c r="B389" t="s">
        <v>390</v>
      </c>
    </row>
    <row r="390" spans="1:2">
      <c r="A390" t="str">
        <f>"931056"</f>
        <v>931056</v>
      </c>
      <c r="B390" t="s">
        <v>391</v>
      </c>
    </row>
    <row r="391" spans="1:2">
      <c r="A391" t="str">
        <f>"931057"</f>
        <v>931057</v>
      </c>
      <c r="B391" t="s">
        <v>392</v>
      </c>
    </row>
    <row r="392" spans="1:2">
      <c r="A392" t="str">
        <f>"931058"</f>
        <v>931058</v>
      </c>
      <c r="B392" t="s">
        <v>393</v>
      </c>
    </row>
    <row r="393" spans="1:2">
      <c r="A393" t="str">
        <f>"931062"</f>
        <v>931062</v>
      </c>
      <c r="B393" t="s">
        <v>394</v>
      </c>
    </row>
    <row r="394" spans="1:2">
      <c r="A394" t="str">
        <f>"931063"</f>
        <v>931063</v>
      </c>
      <c r="B394" t="s">
        <v>395</v>
      </c>
    </row>
    <row r="395" spans="1:2">
      <c r="A395" t="str">
        <f>"931065"</f>
        <v>931065</v>
      </c>
      <c r="B395" t="s">
        <v>396</v>
      </c>
    </row>
    <row r="396" spans="1:2">
      <c r="A396" t="str">
        <f>"931066"</f>
        <v>931066</v>
      </c>
      <c r="B396" t="s">
        <v>397</v>
      </c>
    </row>
    <row r="397" spans="1:2">
      <c r="A397" t="str">
        <f>"931067"</f>
        <v>931067</v>
      </c>
      <c r="B397" t="s">
        <v>398</v>
      </c>
    </row>
    <row r="398" spans="1:2">
      <c r="A398" t="str">
        <f>"931068"</f>
        <v>931068</v>
      </c>
      <c r="B398" t="s">
        <v>399</v>
      </c>
    </row>
    <row r="399" spans="1:2">
      <c r="A399" t="str">
        <f>"931069"</f>
        <v>931069</v>
      </c>
      <c r="B399" t="s">
        <v>400</v>
      </c>
    </row>
    <row r="400" spans="1:2">
      <c r="A400" t="str">
        <f>"931070"</f>
        <v>931070</v>
      </c>
      <c r="B400" t="s">
        <v>401</v>
      </c>
    </row>
    <row r="401" spans="1:2">
      <c r="A401" t="str">
        <f>"931071"</f>
        <v>931071</v>
      </c>
      <c r="B401" t="s">
        <v>402</v>
      </c>
    </row>
    <row r="402" spans="1:2">
      <c r="A402" t="str">
        <f>"931072"</f>
        <v>931072</v>
      </c>
      <c r="B402" t="s">
        <v>403</v>
      </c>
    </row>
    <row r="403" spans="1:2">
      <c r="A403" t="str">
        <f>"931073"</f>
        <v>931073</v>
      </c>
      <c r="B403" t="s">
        <v>404</v>
      </c>
    </row>
    <row r="404" spans="1:2">
      <c r="A404" t="str">
        <f>"931074"</f>
        <v>931074</v>
      </c>
      <c r="B404" t="s">
        <v>405</v>
      </c>
    </row>
    <row r="405" spans="1:2">
      <c r="A405" t="str">
        <f>"931075"</f>
        <v>931075</v>
      </c>
      <c r="B405" t="s">
        <v>406</v>
      </c>
    </row>
    <row r="406" spans="1:2">
      <c r="A406" t="str">
        <f>"931076"</f>
        <v>931076</v>
      </c>
      <c r="B406" t="s">
        <v>407</v>
      </c>
    </row>
    <row r="407" spans="1:2">
      <c r="A407" t="str">
        <f>"931077"</f>
        <v>931077</v>
      </c>
      <c r="B407" t="s">
        <v>408</v>
      </c>
    </row>
    <row r="408" spans="1:2">
      <c r="A408" t="str">
        <f>"931078"</f>
        <v>931078</v>
      </c>
      <c r="B408" t="s">
        <v>409</v>
      </c>
    </row>
    <row r="409" spans="1:2">
      <c r="A409" t="str">
        <f>"931079"</f>
        <v>931079</v>
      </c>
      <c r="B409" t="s">
        <v>410</v>
      </c>
    </row>
    <row r="410" spans="1:2">
      <c r="A410" t="str">
        <f>"931086"</f>
        <v>931086</v>
      </c>
      <c r="B410" t="s">
        <v>411</v>
      </c>
    </row>
    <row r="411" spans="1:2">
      <c r="A411" t="str">
        <f>"931087"</f>
        <v>931087</v>
      </c>
      <c r="B411" t="s">
        <v>412</v>
      </c>
    </row>
    <row r="412" spans="1:2">
      <c r="A412" t="str">
        <f>"931088"</f>
        <v>931088</v>
      </c>
      <c r="B412" t="s">
        <v>413</v>
      </c>
    </row>
    <row r="413" spans="1:2">
      <c r="A413" t="str">
        <f>"931127"</f>
        <v>931127</v>
      </c>
      <c r="B413" t="s">
        <v>414</v>
      </c>
    </row>
    <row r="414" spans="1:2">
      <c r="A414" t="str">
        <f>"931129"</f>
        <v>931129</v>
      </c>
      <c r="B414" t="s">
        <v>415</v>
      </c>
    </row>
    <row r="415" spans="1:2">
      <c r="A415" t="str">
        <f>"931130"</f>
        <v>931130</v>
      </c>
      <c r="B415" t="s">
        <v>416</v>
      </c>
    </row>
    <row r="416" spans="1:2">
      <c r="A416" t="str">
        <f>"931131"</f>
        <v>931131</v>
      </c>
      <c r="B416" t="s">
        <v>417</v>
      </c>
    </row>
    <row r="417" spans="1:2">
      <c r="A417" t="str">
        <f>"931132"</f>
        <v>931132</v>
      </c>
      <c r="B417" t="s">
        <v>418</v>
      </c>
    </row>
    <row r="418" spans="1:2">
      <c r="A418" t="str">
        <f>"931133"</f>
        <v>931133</v>
      </c>
      <c r="B418" t="s">
        <v>419</v>
      </c>
    </row>
    <row r="419" spans="1:2">
      <c r="A419" t="str">
        <f>"931134"</f>
        <v>931134</v>
      </c>
      <c r="B419" t="s">
        <v>420</v>
      </c>
    </row>
    <row r="420" spans="1:2">
      <c r="A420" t="str">
        <f>"931136"</f>
        <v>931136</v>
      </c>
      <c r="B420" t="s">
        <v>421</v>
      </c>
    </row>
    <row r="421" spans="1:2">
      <c r="A421" t="str">
        <f>"931138"</f>
        <v>931138</v>
      </c>
      <c r="B421" t="s">
        <v>422</v>
      </c>
    </row>
    <row r="422" spans="1:2">
      <c r="A422" t="str">
        <f>"931139"</f>
        <v>931139</v>
      </c>
      <c r="B422" t="s">
        <v>423</v>
      </c>
    </row>
    <row r="423" spans="1:2">
      <c r="A423" t="str">
        <f>"931140"</f>
        <v>931140</v>
      </c>
      <c r="B423" t="s">
        <v>424</v>
      </c>
    </row>
    <row r="424" spans="1:2">
      <c r="A424" t="str">
        <f>"931141"</f>
        <v>931141</v>
      </c>
      <c r="B424" t="s">
        <v>425</v>
      </c>
    </row>
    <row r="425" spans="1:2">
      <c r="A425" t="str">
        <f>"931142"</f>
        <v>931142</v>
      </c>
      <c r="B425" t="s">
        <v>426</v>
      </c>
    </row>
    <row r="426" spans="1:2">
      <c r="A426" t="str">
        <f>"931144"</f>
        <v>931144</v>
      </c>
      <c r="B426" t="s">
        <v>427</v>
      </c>
    </row>
    <row r="427" spans="1:2">
      <c r="A427" t="str">
        <f>"931147"</f>
        <v>931147</v>
      </c>
      <c r="B427" t="s">
        <v>428</v>
      </c>
    </row>
    <row r="428" spans="1:2">
      <c r="A428" t="str">
        <f>"931148"</f>
        <v>931148</v>
      </c>
      <c r="B428" t="s">
        <v>429</v>
      </c>
    </row>
    <row r="429" spans="1:2">
      <c r="A429" t="str">
        <f>"931149"</f>
        <v>931149</v>
      </c>
      <c r="B429" t="s">
        <v>430</v>
      </c>
    </row>
    <row r="430" spans="1:2">
      <c r="A430" t="str">
        <f>"931150"</f>
        <v>931150</v>
      </c>
      <c r="B430" t="s">
        <v>431</v>
      </c>
    </row>
    <row r="431" spans="1:2">
      <c r="A431" t="str">
        <f>"931151"</f>
        <v>931151</v>
      </c>
      <c r="B431" t="s">
        <v>432</v>
      </c>
    </row>
    <row r="432" spans="1:2">
      <c r="A432" t="str">
        <f>"931152"</f>
        <v>931152</v>
      </c>
      <c r="B432" t="s">
        <v>433</v>
      </c>
    </row>
    <row r="433" spans="1:2">
      <c r="A433" t="str">
        <f>"931153"</f>
        <v>931153</v>
      </c>
      <c r="B433" t="s">
        <v>434</v>
      </c>
    </row>
    <row r="434" spans="1:2">
      <c r="A434" t="str">
        <f>"931155"</f>
        <v>931155</v>
      </c>
      <c r="B434" t="s">
        <v>435</v>
      </c>
    </row>
    <row r="435" spans="1:2">
      <c r="A435" t="str">
        <f>"931156"</f>
        <v>931156</v>
      </c>
      <c r="B435" t="s">
        <v>436</v>
      </c>
    </row>
    <row r="436" spans="1:2">
      <c r="A436" t="str">
        <f>"931157"</f>
        <v>931157</v>
      </c>
      <c r="B436" t="s">
        <v>437</v>
      </c>
    </row>
    <row r="437" spans="1:2">
      <c r="A437" t="str">
        <f>"931159"</f>
        <v>931159</v>
      </c>
      <c r="B437" t="s">
        <v>438</v>
      </c>
    </row>
    <row r="438" spans="1:2">
      <c r="A438" t="str">
        <f>"931160"</f>
        <v>931160</v>
      </c>
      <c r="B438" t="s">
        <v>439</v>
      </c>
    </row>
    <row r="439" spans="1:2">
      <c r="A439" t="str">
        <f>"931162"</f>
        <v>931162</v>
      </c>
      <c r="B439" t="s">
        <v>409</v>
      </c>
    </row>
    <row r="440" spans="1:2">
      <c r="A440" t="str">
        <f>"931163"</f>
        <v>931163</v>
      </c>
      <c r="B440" t="s">
        <v>440</v>
      </c>
    </row>
    <row r="441" spans="1:2">
      <c r="A441" t="str">
        <f>"931165"</f>
        <v>931165</v>
      </c>
      <c r="B441" t="s">
        <v>441</v>
      </c>
    </row>
    <row r="442" spans="1:2">
      <c r="A442" t="str">
        <f>"931166"</f>
        <v>931166</v>
      </c>
      <c r="B442" t="s">
        <v>442</v>
      </c>
    </row>
    <row r="443" spans="1:2">
      <c r="A443" t="str">
        <f>"931167"</f>
        <v>931167</v>
      </c>
      <c r="B443" t="s">
        <v>443</v>
      </c>
    </row>
    <row r="444" spans="1:2">
      <c r="A444" t="str">
        <f>"931168"</f>
        <v>931168</v>
      </c>
      <c r="B444" t="s">
        <v>444</v>
      </c>
    </row>
    <row r="445" spans="1:2">
      <c r="A445" t="str">
        <f>"931169"</f>
        <v>931169</v>
      </c>
      <c r="B445" t="s">
        <v>445</v>
      </c>
    </row>
    <row r="446" spans="1:2">
      <c r="A446" t="str">
        <f>"931170"</f>
        <v>931170</v>
      </c>
      <c r="B446" t="s">
        <v>446</v>
      </c>
    </row>
    <row r="447" spans="1:2">
      <c r="A447" t="str">
        <f>"931180"</f>
        <v>931180</v>
      </c>
      <c r="B447" t="s">
        <v>447</v>
      </c>
    </row>
    <row r="448" spans="1:2">
      <c r="A448" t="str">
        <f>"931181"</f>
        <v>931181</v>
      </c>
      <c r="B448" t="s">
        <v>448</v>
      </c>
    </row>
    <row r="449" spans="1:2">
      <c r="A449" t="str">
        <f>"931182"</f>
        <v>931182</v>
      </c>
      <c r="B449" t="s">
        <v>449</v>
      </c>
    </row>
    <row r="450" spans="1:2">
      <c r="A450" t="str">
        <f>"931183"</f>
        <v>931183</v>
      </c>
      <c r="B450" t="s">
        <v>450</v>
      </c>
    </row>
    <row r="451" spans="1:2">
      <c r="A451" t="str">
        <f>"931184"</f>
        <v>931184</v>
      </c>
      <c r="B451" t="s">
        <v>451</v>
      </c>
    </row>
    <row r="452" spans="1:2">
      <c r="A452" t="str">
        <f>"931185"</f>
        <v>931185</v>
      </c>
      <c r="B452" t="s">
        <v>452</v>
      </c>
    </row>
    <row r="453" spans="1:2">
      <c r="A453" t="str">
        <f>"931186"</f>
        <v>931186</v>
      </c>
      <c r="B453" t="s">
        <v>453</v>
      </c>
    </row>
    <row r="454" spans="1:2">
      <c r="A454" t="str">
        <f>"931187"</f>
        <v>931187</v>
      </c>
      <c r="B454" t="s">
        <v>454</v>
      </c>
    </row>
    <row r="455" spans="1:2">
      <c r="A455" t="str">
        <f>"931227"</f>
        <v>931227</v>
      </c>
      <c r="B455" t="s">
        <v>455</v>
      </c>
    </row>
    <row r="456" spans="1:2">
      <c r="A456" t="str">
        <f>"931229"</f>
        <v>931229</v>
      </c>
      <c r="B456" t="s">
        <v>456</v>
      </c>
    </row>
    <row r="457" spans="1:2">
      <c r="A457" t="str">
        <f>"931231"</f>
        <v>931231</v>
      </c>
      <c r="B457" t="s">
        <v>457</v>
      </c>
    </row>
    <row r="458" spans="1:2">
      <c r="A458" t="str">
        <f>"931234"</f>
        <v>931234</v>
      </c>
      <c r="B458" t="s">
        <v>458</v>
      </c>
    </row>
    <row r="459" spans="1:2">
      <c r="A459" t="str">
        <f>"931235"</f>
        <v>931235</v>
      </c>
      <c r="B459" t="s">
        <v>459</v>
      </c>
    </row>
    <row r="460" spans="1:2">
      <c r="A460" t="str">
        <f>"931241"</f>
        <v>931241</v>
      </c>
      <c r="B460" t="s">
        <v>460</v>
      </c>
    </row>
    <row r="461" spans="1:2">
      <c r="A461" t="str">
        <f>"931242"</f>
        <v>931242</v>
      </c>
      <c r="B461" t="s">
        <v>461</v>
      </c>
    </row>
    <row r="462" spans="1:2">
      <c r="A462" t="str">
        <f>"931243"</f>
        <v>931243</v>
      </c>
      <c r="B462" t="s">
        <v>462</v>
      </c>
    </row>
    <row r="463" spans="1:2">
      <c r="A463" t="str">
        <f>"931245"</f>
        <v>931245</v>
      </c>
      <c r="B463" t="s">
        <v>463</v>
      </c>
    </row>
    <row r="464" spans="1:2">
      <c r="A464" t="str">
        <f>"931246"</f>
        <v>931246</v>
      </c>
      <c r="B464" t="s">
        <v>464</v>
      </c>
    </row>
    <row r="465" spans="1:2">
      <c r="A465" t="str">
        <f>"931247"</f>
        <v>931247</v>
      </c>
      <c r="B465" t="s">
        <v>465</v>
      </c>
    </row>
    <row r="466" spans="1:2">
      <c r="A466" t="str">
        <f>"931251"</f>
        <v>931251</v>
      </c>
      <c r="B466" t="s">
        <v>466</v>
      </c>
    </row>
    <row r="467" spans="1:2">
      <c r="A467" t="str">
        <f>"931254"</f>
        <v>931254</v>
      </c>
      <c r="B467" t="s">
        <v>467</v>
      </c>
    </row>
    <row r="468" spans="1:2">
      <c r="A468" t="str">
        <f>"931259"</f>
        <v>931259</v>
      </c>
      <c r="B468" t="s">
        <v>468</v>
      </c>
    </row>
    <row r="469" spans="1:2">
      <c r="A469" t="str">
        <f>"931260"</f>
        <v>931260</v>
      </c>
      <c r="B469" t="s">
        <v>469</v>
      </c>
    </row>
    <row r="470" spans="1:2">
      <c r="A470" t="str">
        <f>"931265"</f>
        <v>931265</v>
      </c>
      <c r="B470" t="s">
        <v>470</v>
      </c>
    </row>
    <row r="471" spans="1:2">
      <c r="A471" t="str">
        <f>"931266"</f>
        <v>931266</v>
      </c>
      <c r="B471" t="s">
        <v>471</v>
      </c>
    </row>
    <row r="472" spans="1:2">
      <c r="A472" t="str">
        <f>"931267"</f>
        <v>931267</v>
      </c>
      <c r="B472" t="s">
        <v>472</v>
      </c>
    </row>
    <row r="473" spans="1:2">
      <c r="A473" t="str">
        <f>"931268"</f>
        <v>931268</v>
      </c>
      <c r="B473" t="s">
        <v>473</v>
      </c>
    </row>
    <row r="474" spans="1:2">
      <c r="A474" t="str">
        <f>"931273"</f>
        <v>931273</v>
      </c>
      <c r="B474" t="s">
        <v>474</v>
      </c>
    </row>
    <row r="475" spans="1:2">
      <c r="A475" t="str">
        <f>"931353"</f>
        <v>931353</v>
      </c>
      <c r="B475" t="s">
        <v>475</v>
      </c>
    </row>
    <row r="476" spans="1:2">
      <c r="A476" t="str">
        <f>"931354"</f>
        <v>931354</v>
      </c>
      <c r="B476" t="s">
        <v>476</v>
      </c>
    </row>
    <row r="477" spans="1:2">
      <c r="A477" t="str">
        <f>"931355"</f>
        <v>931355</v>
      </c>
      <c r="B477" t="s">
        <v>477</v>
      </c>
    </row>
    <row r="478" spans="1:2">
      <c r="A478" t="str">
        <f>"931356"</f>
        <v>931356</v>
      </c>
      <c r="B478" t="s">
        <v>478</v>
      </c>
    </row>
    <row r="479" spans="1:2">
      <c r="A479" t="str">
        <f>"931357"</f>
        <v>931357</v>
      </c>
      <c r="B479" t="s">
        <v>479</v>
      </c>
    </row>
    <row r="480" spans="1:2">
      <c r="A480" t="str">
        <f>"931359"</f>
        <v>931359</v>
      </c>
      <c r="B480" t="s">
        <v>480</v>
      </c>
    </row>
    <row r="481" spans="1:2">
      <c r="A481" t="str">
        <f>"931371"</f>
        <v>931371</v>
      </c>
      <c r="B481" t="s">
        <v>481</v>
      </c>
    </row>
    <row r="482" spans="1:2">
      <c r="A482" t="str">
        <f>"931372"</f>
        <v>931372</v>
      </c>
      <c r="B482" t="s">
        <v>482</v>
      </c>
    </row>
    <row r="483" spans="1:2">
      <c r="A483" t="str">
        <f>"931373"</f>
        <v>931373</v>
      </c>
      <c r="B483" t="s">
        <v>483</v>
      </c>
    </row>
    <row r="484" spans="1:2">
      <c r="A484" t="str">
        <f>"931374"</f>
        <v>931374</v>
      </c>
      <c r="B484" t="s">
        <v>484</v>
      </c>
    </row>
    <row r="485" spans="1:2">
      <c r="A485" t="str">
        <f>"931375"</f>
        <v>931375</v>
      </c>
      <c r="B485" t="s">
        <v>485</v>
      </c>
    </row>
    <row r="486" spans="1:2">
      <c r="A486" t="str">
        <f>"931376"</f>
        <v>931376</v>
      </c>
      <c r="B486" t="s">
        <v>486</v>
      </c>
    </row>
    <row r="487" spans="1:2">
      <c r="A487" t="str">
        <f>"931377"</f>
        <v>931377</v>
      </c>
      <c r="B487" t="s">
        <v>487</v>
      </c>
    </row>
    <row r="488" spans="1:2">
      <c r="A488" t="str">
        <f>"931380"</f>
        <v>931380</v>
      </c>
      <c r="B488" t="s">
        <v>488</v>
      </c>
    </row>
    <row r="489" spans="1:2">
      <c r="A489" t="str">
        <f>"931381"</f>
        <v>931381</v>
      </c>
      <c r="B489" t="s">
        <v>489</v>
      </c>
    </row>
    <row r="490" spans="1:2">
      <c r="A490" t="str">
        <f>"931382"</f>
        <v>931382</v>
      </c>
      <c r="B490" t="s">
        <v>490</v>
      </c>
    </row>
    <row r="491" spans="1:2">
      <c r="A491" t="str">
        <f>"931383"</f>
        <v>931383</v>
      </c>
      <c r="B491" t="s">
        <v>491</v>
      </c>
    </row>
    <row r="492" spans="1:2">
      <c r="A492" t="str">
        <f>"931393"</f>
        <v>931393</v>
      </c>
      <c r="B492" t="s">
        <v>492</v>
      </c>
    </row>
    <row r="493" spans="1:2">
      <c r="A493" t="str">
        <f>"931394"</f>
        <v>931394</v>
      </c>
      <c r="B493" t="s">
        <v>493</v>
      </c>
    </row>
    <row r="494" spans="1:2">
      <c r="A494" t="str">
        <f>"931395"</f>
        <v>931395</v>
      </c>
      <c r="B494" t="s">
        <v>494</v>
      </c>
    </row>
    <row r="495" spans="1:2">
      <c r="A495" t="str">
        <f>"931397"</f>
        <v>931397</v>
      </c>
      <c r="B495" t="s">
        <v>495</v>
      </c>
    </row>
    <row r="496" spans="1:2">
      <c r="A496" t="str">
        <f>"931398"</f>
        <v>931398</v>
      </c>
      <c r="B496" t="s">
        <v>496</v>
      </c>
    </row>
    <row r="497" spans="1:2">
      <c r="A497" t="str">
        <f>"931402"</f>
        <v>931402</v>
      </c>
      <c r="B497" t="s">
        <v>497</v>
      </c>
    </row>
    <row r="498" spans="1:2">
      <c r="A498" t="str">
        <f>"931403"</f>
        <v>931403</v>
      </c>
      <c r="B498" t="s">
        <v>498</v>
      </c>
    </row>
    <row r="499" spans="1:2">
      <c r="A499" t="str">
        <f>"931404"</f>
        <v>931404</v>
      </c>
      <c r="B499" t="s">
        <v>499</v>
      </c>
    </row>
    <row r="500" spans="1:2">
      <c r="A500" t="str">
        <f>"931406"</f>
        <v>931406</v>
      </c>
      <c r="B500" t="s">
        <v>500</v>
      </c>
    </row>
    <row r="501" spans="1:2">
      <c r="A501" t="str">
        <f>"931409"</f>
        <v>931409</v>
      </c>
      <c r="B501" t="s">
        <v>501</v>
      </c>
    </row>
    <row r="502" spans="1:2">
      <c r="A502" t="str">
        <f>"931412"</f>
        <v>931412</v>
      </c>
      <c r="B502" t="s">
        <v>502</v>
      </c>
    </row>
    <row r="503" spans="1:2">
      <c r="A503" t="str">
        <f>"931440"</f>
        <v>931440</v>
      </c>
      <c r="B503" t="s">
        <v>503</v>
      </c>
    </row>
    <row r="504" spans="1:2">
      <c r="A504" t="str">
        <f>"931441"</f>
        <v>931441</v>
      </c>
      <c r="B504" t="s">
        <v>504</v>
      </c>
    </row>
    <row r="505" spans="1:2">
      <c r="A505" t="str">
        <f>"931442"</f>
        <v>931442</v>
      </c>
      <c r="B505" t="s">
        <v>505</v>
      </c>
    </row>
    <row r="506" spans="1:2">
      <c r="A506" t="str">
        <f>"931446"</f>
        <v>931446</v>
      </c>
      <c r="B506" t="s">
        <v>506</v>
      </c>
    </row>
    <row r="507" spans="1:2">
      <c r="A507" t="str">
        <f>"931447"</f>
        <v>931447</v>
      </c>
      <c r="B507" t="s">
        <v>507</v>
      </c>
    </row>
    <row r="508" spans="1:2">
      <c r="A508" t="str">
        <f>"931448"</f>
        <v>931448</v>
      </c>
      <c r="B508" t="s">
        <v>508</v>
      </c>
    </row>
    <row r="509" spans="1:2">
      <c r="A509" t="str">
        <f>"931454"</f>
        <v>931454</v>
      </c>
      <c r="B509" t="s">
        <v>509</v>
      </c>
    </row>
    <row r="510" spans="1:2">
      <c r="A510" t="str">
        <f>"931455"</f>
        <v>931455</v>
      </c>
      <c r="B510" t="s">
        <v>510</v>
      </c>
    </row>
    <row r="511" spans="1:2">
      <c r="A511" t="str">
        <f>"931456"</f>
        <v>931456</v>
      </c>
      <c r="B511" t="s">
        <v>511</v>
      </c>
    </row>
    <row r="512" spans="1:2">
      <c r="A512" t="str">
        <f>"931461"</f>
        <v>931461</v>
      </c>
      <c r="B512" t="s">
        <v>512</v>
      </c>
    </row>
    <row r="513" spans="1:2">
      <c r="A513" t="str">
        <f>"931463"</f>
        <v>931463</v>
      </c>
      <c r="B513" t="s">
        <v>513</v>
      </c>
    </row>
    <row r="514" spans="1:2">
      <c r="A514" t="str">
        <f>"931465"</f>
        <v>931465</v>
      </c>
      <c r="B514" t="s">
        <v>514</v>
      </c>
    </row>
    <row r="515" spans="1:2">
      <c r="A515" t="str">
        <f>"931466"</f>
        <v>931466</v>
      </c>
      <c r="B515" t="s">
        <v>515</v>
      </c>
    </row>
    <row r="516" spans="1:2">
      <c r="A516" t="str">
        <f>"931467"</f>
        <v>931467</v>
      </c>
      <c r="B516" t="s">
        <v>516</v>
      </c>
    </row>
    <row r="517" spans="1:2">
      <c r="A517" t="str">
        <f>"931468"</f>
        <v>931468</v>
      </c>
      <c r="B517" t="s">
        <v>517</v>
      </c>
    </row>
    <row r="518" spans="1:2">
      <c r="A518" t="str">
        <f>"931469"</f>
        <v>931469</v>
      </c>
      <c r="B518" t="s">
        <v>518</v>
      </c>
    </row>
    <row r="519" spans="1:2">
      <c r="A519" t="str">
        <f>"931470"</f>
        <v>931470</v>
      </c>
      <c r="B519" t="s">
        <v>519</v>
      </c>
    </row>
    <row r="520" spans="1:2">
      <c r="A520" t="str">
        <f>"931476"</f>
        <v>931476</v>
      </c>
      <c r="B520" t="s">
        <v>520</v>
      </c>
    </row>
    <row r="521" spans="1:2">
      <c r="A521" t="str">
        <f>"931477"</f>
        <v>931477</v>
      </c>
      <c r="B521" t="s">
        <v>521</v>
      </c>
    </row>
    <row r="522" spans="1:2">
      <c r="A522" t="str">
        <f>"931478"</f>
        <v>931478</v>
      </c>
      <c r="B522" t="s">
        <v>522</v>
      </c>
    </row>
    <row r="523" spans="1:2">
      <c r="A523" t="str">
        <f>"931479"</f>
        <v>931479</v>
      </c>
      <c r="B523" t="s">
        <v>523</v>
      </c>
    </row>
    <row r="524" spans="1:2">
      <c r="A524" t="str">
        <f>"931480"</f>
        <v>931480</v>
      </c>
      <c r="B524" t="s">
        <v>524</v>
      </c>
    </row>
    <row r="525" spans="1:2">
      <c r="A525" t="str">
        <f>"931481"</f>
        <v>931481</v>
      </c>
      <c r="B525" t="s">
        <v>525</v>
      </c>
    </row>
    <row r="526" spans="1:2">
      <c r="A526" t="str">
        <f>"931483"</f>
        <v>931483</v>
      </c>
      <c r="B526" t="s">
        <v>526</v>
      </c>
    </row>
    <row r="527" spans="1:2">
      <c r="A527" t="str">
        <f>"931484"</f>
        <v>931484</v>
      </c>
      <c r="B527" t="s">
        <v>527</v>
      </c>
    </row>
    <row r="528" spans="1:2">
      <c r="A528" t="str">
        <f>"931487"</f>
        <v>931487</v>
      </c>
      <c r="B528" t="s">
        <v>528</v>
      </c>
    </row>
    <row r="529" spans="1:2">
      <c r="A529" t="str">
        <f>"931489"</f>
        <v>931489</v>
      </c>
      <c r="B529" t="s">
        <v>529</v>
      </c>
    </row>
    <row r="530" spans="1:2">
      <c r="A530" t="str">
        <f>"931491"</f>
        <v>931491</v>
      </c>
      <c r="B530" t="s">
        <v>530</v>
      </c>
    </row>
    <row r="531" spans="1:2">
      <c r="A531" t="str">
        <f>"931494"</f>
        <v>931494</v>
      </c>
      <c r="B531" t="s">
        <v>531</v>
      </c>
    </row>
    <row r="532" spans="1:2">
      <c r="A532" t="str">
        <f>"931495"</f>
        <v>931495</v>
      </c>
      <c r="B532" t="s">
        <v>532</v>
      </c>
    </row>
    <row r="533" spans="1:2">
      <c r="A533" t="str">
        <f>"931496"</f>
        <v>931496</v>
      </c>
      <c r="B533" t="s">
        <v>533</v>
      </c>
    </row>
    <row r="534" spans="1:2">
      <c r="A534" t="str">
        <f>"931498"</f>
        <v>931498</v>
      </c>
      <c r="B534" t="s">
        <v>534</v>
      </c>
    </row>
    <row r="535" spans="1:2">
      <c r="A535" t="str">
        <f>"931512"</f>
        <v>931512</v>
      </c>
      <c r="B535" t="s">
        <v>535</v>
      </c>
    </row>
    <row r="536" spans="1:2">
      <c r="A536" t="str">
        <f>"931513"</f>
        <v>931513</v>
      </c>
      <c r="B536" t="s">
        <v>536</v>
      </c>
    </row>
    <row r="537" spans="1:2">
      <c r="A537" t="str">
        <f>"931520"</f>
        <v>931520</v>
      </c>
      <c r="B537" t="s">
        <v>537</v>
      </c>
    </row>
    <row r="538" spans="1:2">
      <c r="A538" t="str">
        <f>"931521"</f>
        <v>931521</v>
      </c>
      <c r="B538" t="s">
        <v>538</v>
      </c>
    </row>
    <row r="539" spans="1:2">
      <c r="A539" t="str">
        <f>"931522"</f>
        <v>931522</v>
      </c>
      <c r="B539" t="s">
        <v>539</v>
      </c>
    </row>
    <row r="540" spans="1:2">
      <c r="A540" t="str">
        <f>"931523"</f>
        <v>931523</v>
      </c>
      <c r="B540" t="s">
        <v>540</v>
      </c>
    </row>
    <row r="541" spans="1:2">
      <c r="A541" t="str">
        <f>"931524"</f>
        <v>931524</v>
      </c>
      <c r="B541" t="s">
        <v>541</v>
      </c>
    </row>
    <row r="542" spans="1:2">
      <c r="A542" t="str">
        <f>"931525"</f>
        <v>931525</v>
      </c>
      <c r="B542" t="s">
        <v>542</v>
      </c>
    </row>
    <row r="543" spans="1:2">
      <c r="A543" t="str">
        <f>"931526"</f>
        <v>931526</v>
      </c>
      <c r="B543" t="s">
        <v>543</v>
      </c>
    </row>
    <row r="544" spans="1:2">
      <c r="A544" t="str">
        <f>"931554"</f>
        <v>931554</v>
      </c>
      <c r="B544" t="s">
        <v>544</v>
      </c>
    </row>
    <row r="545" spans="1:2">
      <c r="A545" t="str">
        <f>"931555"</f>
        <v>931555</v>
      </c>
      <c r="B545" t="s">
        <v>545</v>
      </c>
    </row>
    <row r="546" spans="1:2">
      <c r="A546" t="str">
        <f>"931557"</f>
        <v>931557</v>
      </c>
      <c r="B546" t="s">
        <v>546</v>
      </c>
    </row>
    <row r="547" spans="1:2">
      <c r="A547" t="str">
        <f>"931558"</f>
        <v>931558</v>
      </c>
      <c r="B547" t="s">
        <v>547</v>
      </c>
    </row>
    <row r="548" spans="1:2">
      <c r="A548" t="str">
        <f>"931559"</f>
        <v>931559</v>
      </c>
      <c r="B548" t="s">
        <v>548</v>
      </c>
    </row>
    <row r="549" spans="1:2">
      <c r="A549" t="str">
        <f>"931560"</f>
        <v>931560</v>
      </c>
      <c r="B549" t="s">
        <v>549</v>
      </c>
    </row>
    <row r="550" spans="1:2">
      <c r="A550" t="str">
        <f>"931561"</f>
        <v>931561</v>
      </c>
      <c r="B550" t="s">
        <v>550</v>
      </c>
    </row>
    <row r="551" spans="1:2">
      <c r="A551" t="str">
        <f>"931562"</f>
        <v>931562</v>
      </c>
      <c r="B551" t="s">
        <v>551</v>
      </c>
    </row>
    <row r="552" spans="1:2">
      <c r="A552" t="str">
        <f>"931563"</f>
        <v>931563</v>
      </c>
      <c r="B552" t="s">
        <v>552</v>
      </c>
    </row>
    <row r="553" spans="1:2">
      <c r="A553" t="str">
        <f>"931573"</f>
        <v>931573</v>
      </c>
      <c r="B553" t="s">
        <v>553</v>
      </c>
    </row>
    <row r="554" spans="1:2">
      <c r="A554" t="str">
        <f>"931574"</f>
        <v>931574</v>
      </c>
      <c r="B554" t="s">
        <v>554</v>
      </c>
    </row>
    <row r="555" spans="1:2">
      <c r="A555" t="str">
        <f>"931575"</f>
        <v>931575</v>
      </c>
      <c r="B555" t="s">
        <v>555</v>
      </c>
    </row>
    <row r="556" spans="1:2">
      <c r="A556" t="str">
        <f>"931579"</f>
        <v>931579</v>
      </c>
      <c r="B556" t="s">
        <v>556</v>
      </c>
    </row>
    <row r="557" spans="1:2">
      <c r="A557" t="str">
        <f>"931580"</f>
        <v>931580</v>
      </c>
      <c r="B557" t="s">
        <v>557</v>
      </c>
    </row>
    <row r="558" spans="1:2">
      <c r="A558" t="str">
        <f>"931581"</f>
        <v>931581</v>
      </c>
      <c r="B558" t="s">
        <v>558</v>
      </c>
    </row>
    <row r="559" spans="1:2">
      <c r="A559" t="str">
        <f>"931582"</f>
        <v>931582</v>
      </c>
      <c r="B559" t="s">
        <v>559</v>
      </c>
    </row>
    <row r="560" spans="1:2">
      <c r="A560" t="str">
        <f>"931583"</f>
        <v>931583</v>
      </c>
      <c r="B560" t="s">
        <v>560</v>
      </c>
    </row>
    <row r="561" spans="1:2">
      <c r="A561" t="str">
        <f>"931585"</f>
        <v>931585</v>
      </c>
      <c r="B561" t="s">
        <v>561</v>
      </c>
    </row>
    <row r="562" spans="1:2">
      <c r="A562" t="str">
        <f>"931586"</f>
        <v>931586</v>
      </c>
      <c r="B562" t="s">
        <v>562</v>
      </c>
    </row>
    <row r="563" spans="1:2">
      <c r="A563" t="str">
        <f>"931587"</f>
        <v>931587</v>
      </c>
      <c r="B563" t="s">
        <v>563</v>
      </c>
    </row>
    <row r="564" spans="1:2">
      <c r="A564" t="str">
        <f>"931588"</f>
        <v>931588</v>
      </c>
      <c r="B564" t="s">
        <v>564</v>
      </c>
    </row>
    <row r="565" spans="1:2">
      <c r="A565" t="str">
        <f>"931589"</f>
        <v>931589</v>
      </c>
      <c r="B565" t="s">
        <v>565</v>
      </c>
    </row>
    <row r="566" spans="1:2">
      <c r="A566" t="str">
        <f>"931590"</f>
        <v>931590</v>
      </c>
      <c r="B566" t="s">
        <v>566</v>
      </c>
    </row>
    <row r="567" spans="1:2">
      <c r="A567" t="str">
        <f>"931591"</f>
        <v>931591</v>
      </c>
      <c r="B567" t="s">
        <v>567</v>
      </c>
    </row>
    <row r="568" spans="1:2">
      <c r="A568" t="str">
        <f>"931592"</f>
        <v>931592</v>
      </c>
      <c r="B568" t="s">
        <v>568</v>
      </c>
    </row>
    <row r="569" spans="1:2">
      <c r="A569" t="str">
        <f>"931593"</f>
        <v>931593</v>
      </c>
      <c r="B569" t="s">
        <v>569</v>
      </c>
    </row>
    <row r="570" spans="1:2">
      <c r="A570" t="str">
        <f>"931594"</f>
        <v>931594</v>
      </c>
      <c r="B570" t="s">
        <v>570</v>
      </c>
    </row>
    <row r="571" spans="1:2">
      <c r="A571" t="str">
        <f>"931595"</f>
        <v>931595</v>
      </c>
      <c r="B571" t="s">
        <v>571</v>
      </c>
    </row>
    <row r="572" spans="1:2">
      <c r="A572" t="str">
        <f>"931596"</f>
        <v>931596</v>
      </c>
      <c r="B572" t="s">
        <v>572</v>
      </c>
    </row>
    <row r="573" spans="1:2">
      <c r="A573" t="str">
        <f>"931598"</f>
        <v>931598</v>
      </c>
      <c r="B573" t="s">
        <v>573</v>
      </c>
    </row>
    <row r="574" spans="1:2">
      <c r="A574" t="str">
        <f>"931637"</f>
        <v>931637</v>
      </c>
      <c r="B574" t="s">
        <v>574</v>
      </c>
    </row>
    <row r="575" spans="1:2">
      <c r="A575" t="str">
        <f>"931639"</f>
        <v>931639</v>
      </c>
      <c r="B575" t="s">
        <v>575</v>
      </c>
    </row>
    <row r="576" spans="1:2">
      <c r="A576" t="str">
        <f>"931643"</f>
        <v>931643</v>
      </c>
      <c r="B576" t="s">
        <v>576</v>
      </c>
    </row>
    <row r="577" spans="1:2">
      <c r="A577" t="str">
        <f>"931646"</f>
        <v>931646</v>
      </c>
      <c r="B577" t="s">
        <v>577</v>
      </c>
    </row>
    <row r="578" spans="1:2">
      <c r="A578" t="str">
        <f>"931647"</f>
        <v>931647</v>
      </c>
      <c r="B578" t="s">
        <v>578</v>
      </c>
    </row>
    <row r="579" spans="1:2">
      <c r="A579" t="str">
        <f>"931648"</f>
        <v>931648</v>
      </c>
      <c r="B579" t="s">
        <v>579</v>
      </c>
    </row>
    <row r="580" spans="1:2">
      <c r="A580" t="str">
        <f>"931649"</f>
        <v>931649</v>
      </c>
      <c r="B580" t="s">
        <v>580</v>
      </c>
    </row>
    <row r="581" spans="1:2">
      <c r="A581" t="str">
        <f>"931650"</f>
        <v>931650</v>
      </c>
      <c r="B581" t="s">
        <v>581</v>
      </c>
    </row>
    <row r="582" spans="1:2">
      <c r="A582" t="str">
        <f>"931651"</f>
        <v>931651</v>
      </c>
      <c r="B582" t="s">
        <v>582</v>
      </c>
    </row>
    <row r="583" spans="1:2">
      <c r="A583" t="str">
        <f>"931652"</f>
        <v>931652</v>
      </c>
      <c r="B583" t="s">
        <v>583</v>
      </c>
    </row>
    <row r="584" spans="1:2">
      <c r="A584" t="str">
        <f>"931654"</f>
        <v>931654</v>
      </c>
      <c r="B584" t="s">
        <v>584</v>
      </c>
    </row>
    <row r="585" spans="1:2">
      <c r="A585" t="str">
        <f>"931655"</f>
        <v>931655</v>
      </c>
      <c r="B585" t="s">
        <v>585</v>
      </c>
    </row>
    <row r="586" spans="1:2">
      <c r="A586" t="str">
        <f>"931658"</f>
        <v>931658</v>
      </c>
      <c r="B586" t="s">
        <v>586</v>
      </c>
    </row>
    <row r="587" spans="1:2">
      <c r="A587" t="str">
        <f>"931659"</f>
        <v>931659</v>
      </c>
      <c r="B587" t="s">
        <v>587</v>
      </c>
    </row>
    <row r="588" spans="1:2">
      <c r="A588" t="str">
        <f>"931661"</f>
        <v>931661</v>
      </c>
      <c r="B588" t="s">
        <v>588</v>
      </c>
    </row>
    <row r="589" spans="1:2">
      <c r="A589" t="str">
        <f>"931662"</f>
        <v>931662</v>
      </c>
      <c r="B589" t="s">
        <v>589</v>
      </c>
    </row>
    <row r="590" spans="1:2">
      <c r="A590" t="str">
        <f>"931663"</f>
        <v>931663</v>
      </c>
      <c r="B590" t="s">
        <v>590</v>
      </c>
    </row>
    <row r="591" spans="1:2">
      <c r="A591" t="str">
        <f>"931664"</f>
        <v>931664</v>
      </c>
      <c r="B591" t="s">
        <v>591</v>
      </c>
    </row>
    <row r="592" spans="1:2">
      <c r="A592" t="str">
        <f>"931665"</f>
        <v>931665</v>
      </c>
      <c r="B592" t="s">
        <v>592</v>
      </c>
    </row>
    <row r="593" spans="1:2">
      <c r="A593" t="str">
        <f>"931666"</f>
        <v>931666</v>
      </c>
      <c r="B593" t="s">
        <v>593</v>
      </c>
    </row>
    <row r="594" spans="1:2">
      <c r="A594" t="str">
        <f>"931670"</f>
        <v>931670</v>
      </c>
      <c r="B594" t="s">
        <v>594</v>
      </c>
    </row>
    <row r="595" spans="1:2">
      <c r="A595" t="str">
        <f>"931671"</f>
        <v>931671</v>
      </c>
      <c r="B595" t="s">
        <v>595</v>
      </c>
    </row>
    <row r="596" spans="1:2">
      <c r="A596" t="str">
        <f>"931672"</f>
        <v>931672</v>
      </c>
      <c r="B596" t="s">
        <v>596</v>
      </c>
    </row>
    <row r="597" spans="1:2">
      <c r="A597" t="str">
        <f>"931682"</f>
        <v>931682</v>
      </c>
      <c r="B597" t="s">
        <v>597</v>
      </c>
    </row>
    <row r="598" spans="1:2">
      <c r="A598" t="str">
        <f>"931687"</f>
        <v>931687</v>
      </c>
      <c r="B598" t="s">
        <v>598</v>
      </c>
    </row>
    <row r="599" spans="1:2">
      <c r="A599" t="str">
        <f>"931688"</f>
        <v>931688</v>
      </c>
      <c r="B599" t="s">
        <v>599</v>
      </c>
    </row>
    <row r="600" spans="1:2">
      <c r="A600" t="str">
        <f>"931695"</f>
        <v>931695</v>
      </c>
      <c r="B600" t="s">
        <v>600</v>
      </c>
    </row>
    <row r="601" spans="1:2">
      <c r="A601" t="str">
        <f>"931696"</f>
        <v>931696</v>
      </c>
      <c r="B601" t="s">
        <v>601</v>
      </c>
    </row>
    <row r="602" spans="1:2">
      <c r="A602" t="str">
        <f>"931697"</f>
        <v>931697</v>
      </c>
      <c r="B602" t="s">
        <v>602</v>
      </c>
    </row>
    <row r="603" spans="1:2">
      <c r="A603" t="str">
        <f>"931698"</f>
        <v>931698</v>
      </c>
      <c r="B603" t="s">
        <v>603</v>
      </c>
    </row>
    <row r="604" spans="1:2">
      <c r="A604" t="str">
        <f>"931717"</f>
        <v>931717</v>
      </c>
      <c r="B604" t="s">
        <v>604</v>
      </c>
    </row>
    <row r="605" spans="1:2">
      <c r="A605" t="str">
        <f>"931718"</f>
        <v>931718</v>
      </c>
      <c r="B605" t="s">
        <v>605</v>
      </c>
    </row>
    <row r="606" spans="1:2">
      <c r="A606" t="str">
        <f>"931719"</f>
        <v>931719</v>
      </c>
      <c r="B606" t="s">
        <v>606</v>
      </c>
    </row>
    <row r="607" spans="1:2">
      <c r="A607" t="str">
        <f>"931725"</f>
        <v>931725</v>
      </c>
      <c r="B607" t="s">
        <v>607</v>
      </c>
    </row>
    <row r="608" spans="1:2">
      <c r="A608" t="str">
        <f>"931726"</f>
        <v>931726</v>
      </c>
      <c r="B608" t="s">
        <v>608</v>
      </c>
    </row>
    <row r="609" spans="1:2">
      <c r="A609" t="str">
        <f>"931728"</f>
        <v>931728</v>
      </c>
      <c r="B609" t="s">
        <v>609</v>
      </c>
    </row>
    <row r="610" spans="1:2">
      <c r="A610" t="str">
        <f>"931732"</f>
        <v>931732</v>
      </c>
      <c r="B610" t="s">
        <v>610</v>
      </c>
    </row>
    <row r="611" spans="1:2">
      <c r="A611" t="str">
        <f>"931733"</f>
        <v>931733</v>
      </c>
      <c r="B611" t="s">
        <v>611</v>
      </c>
    </row>
    <row r="612" spans="1:2">
      <c r="A612" t="str">
        <f>"931743"</f>
        <v>931743</v>
      </c>
      <c r="B612" t="s">
        <v>612</v>
      </c>
    </row>
    <row r="613" spans="1:2">
      <c r="A613" t="str">
        <f>"931746"</f>
        <v>931746</v>
      </c>
      <c r="B613" t="s">
        <v>613</v>
      </c>
    </row>
    <row r="614" spans="1:2">
      <c r="A614" t="str">
        <f>"931747"</f>
        <v>931747</v>
      </c>
      <c r="B614" t="s">
        <v>614</v>
      </c>
    </row>
    <row r="615" spans="1:2">
      <c r="A615" t="str">
        <f>"931750"</f>
        <v>931750</v>
      </c>
      <c r="B615" t="s">
        <v>615</v>
      </c>
    </row>
    <row r="616" spans="1:2">
      <c r="A616" t="str">
        <f>"931752"</f>
        <v>931752</v>
      </c>
      <c r="B616" t="s">
        <v>616</v>
      </c>
    </row>
    <row r="617" spans="1:2">
      <c r="A617" t="str">
        <f>"931753"</f>
        <v>931753</v>
      </c>
      <c r="B617" t="s">
        <v>617</v>
      </c>
    </row>
    <row r="618" spans="1:2">
      <c r="A618" t="str">
        <f>"931755"</f>
        <v>931755</v>
      </c>
      <c r="B618" t="s">
        <v>618</v>
      </c>
    </row>
    <row r="619" spans="1:2">
      <c r="A619" t="str">
        <f>"931761"</f>
        <v>931761</v>
      </c>
      <c r="B619" t="s">
        <v>619</v>
      </c>
    </row>
    <row r="620" spans="1:2">
      <c r="A620" t="str">
        <f>"931762"</f>
        <v>931762</v>
      </c>
      <c r="B620" t="s">
        <v>620</v>
      </c>
    </row>
    <row r="621" spans="1:2">
      <c r="A621" t="str">
        <f>"931772"</f>
        <v>931772</v>
      </c>
      <c r="B621" t="s">
        <v>621</v>
      </c>
    </row>
    <row r="622" spans="1:2">
      <c r="A622" t="str">
        <f>"931775"</f>
        <v>931775</v>
      </c>
      <c r="B622" t="s">
        <v>622</v>
      </c>
    </row>
    <row r="623" spans="1:2">
      <c r="A623" t="str">
        <f>"931776"</f>
        <v>931776</v>
      </c>
      <c r="B623" t="s">
        <v>623</v>
      </c>
    </row>
    <row r="624" spans="1:2">
      <c r="A624" t="str">
        <f>"931777"</f>
        <v>931777</v>
      </c>
      <c r="B624" t="s">
        <v>624</v>
      </c>
    </row>
    <row r="625" spans="1:2">
      <c r="A625" t="str">
        <f>"931778"</f>
        <v>931778</v>
      </c>
      <c r="B625" t="s">
        <v>625</v>
      </c>
    </row>
    <row r="626" spans="1:2">
      <c r="A626" t="str">
        <f>"931783"</f>
        <v>931783</v>
      </c>
      <c r="B626" t="s">
        <v>626</v>
      </c>
    </row>
    <row r="627" spans="1:2">
      <c r="A627" t="str">
        <f>"931787"</f>
        <v>931787</v>
      </c>
      <c r="B627" t="s">
        <v>627</v>
      </c>
    </row>
    <row r="628" spans="1:2">
      <c r="A628" t="str">
        <f>"931788"</f>
        <v>931788</v>
      </c>
      <c r="B628" t="s">
        <v>628</v>
      </c>
    </row>
    <row r="629" spans="1:2">
      <c r="A629" t="str">
        <f>"931789"</f>
        <v>931789</v>
      </c>
      <c r="B629" t="s">
        <v>629</v>
      </c>
    </row>
    <row r="630" spans="1:2">
      <c r="A630" t="str">
        <f>"931790"</f>
        <v>931790</v>
      </c>
      <c r="B630" t="s">
        <v>630</v>
      </c>
    </row>
    <row r="631" spans="1:2">
      <c r="A631" t="str">
        <f>"931791"</f>
        <v>931791</v>
      </c>
      <c r="B631" t="s">
        <v>631</v>
      </c>
    </row>
    <row r="632" spans="1:2">
      <c r="A632" t="str">
        <f>"931792"</f>
        <v>931792</v>
      </c>
      <c r="B632" t="s">
        <v>632</v>
      </c>
    </row>
    <row r="633" spans="1:2">
      <c r="A633" t="str">
        <f>"931793"</f>
        <v>931793</v>
      </c>
      <c r="B633" t="s">
        <v>633</v>
      </c>
    </row>
    <row r="634" spans="1:2">
      <c r="A634" t="str">
        <f>"931794"</f>
        <v>931794</v>
      </c>
      <c r="B634" t="s">
        <v>634</v>
      </c>
    </row>
    <row r="635" spans="1:2">
      <c r="A635" t="str">
        <f>"931798"</f>
        <v>931798</v>
      </c>
      <c r="B635" t="s">
        <v>635</v>
      </c>
    </row>
    <row r="636" spans="1:2">
      <c r="A636" t="str">
        <f>"931799"</f>
        <v>931799</v>
      </c>
      <c r="B636" t="s">
        <v>636</v>
      </c>
    </row>
    <row r="637" spans="1:2">
      <c r="A637" t="str">
        <f>"931800"</f>
        <v>931800</v>
      </c>
      <c r="B637" t="s">
        <v>637</v>
      </c>
    </row>
    <row r="638" spans="1:2">
      <c r="A638" t="str">
        <f>"931802"</f>
        <v>931802</v>
      </c>
      <c r="B638" t="s">
        <v>638</v>
      </c>
    </row>
    <row r="639" spans="1:2">
      <c r="A639" t="str">
        <f>"931803"</f>
        <v>931803</v>
      </c>
      <c r="B639" t="s">
        <v>639</v>
      </c>
    </row>
    <row r="640" spans="1:2">
      <c r="A640" t="str">
        <f>"931809"</f>
        <v>931809</v>
      </c>
      <c r="B640" t="s">
        <v>640</v>
      </c>
    </row>
    <row r="641" spans="1:2">
      <c r="A641" t="str">
        <f>"931810"</f>
        <v>931810</v>
      </c>
      <c r="B641" t="s">
        <v>641</v>
      </c>
    </row>
    <row r="642" spans="1:2">
      <c r="A642" t="str">
        <f>"931811"</f>
        <v>931811</v>
      </c>
      <c r="B642" t="s">
        <v>642</v>
      </c>
    </row>
    <row r="643" spans="1:2">
      <c r="A643" t="str">
        <f>"931812"</f>
        <v>931812</v>
      </c>
      <c r="B643" t="s">
        <v>643</v>
      </c>
    </row>
    <row r="644" spans="1:2">
      <c r="A644" t="str">
        <f>"931826"</f>
        <v>931826</v>
      </c>
      <c r="B644" t="s">
        <v>644</v>
      </c>
    </row>
    <row r="645" spans="1:2">
      <c r="A645" t="str">
        <f>"931840"</f>
        <v>931840</v>
      </c>
      <c r="B645" t="s">
        <v>645</v>
      </c>
    </row>
    <row r="646" spans="1:2">
      <c r="A646" t="str">
        <f>"931841"</f>
        <v>931841</v>
      </c>
      <c r="B646" t="s">
        <v>646</v>
      </c>
    </row>
    <row r="647" spans="1:2">
      <c r="A647" t="str">
        <f>"931842"</f>
        <v>931842</v>
      </c>
      <c r="B647" t="s">
        <v>647</v>
      </c>
    </row>
    <row r="648" spans="1:2">
      <c r="A648" t="str">
        <f>"931845"</f>
        <v>931845</v>
      </c>
      <c r="B648" t="s">
        <v>648</v>
      </c>
    </row>
    <row r="649" spans="1:2">
      <c r="A649" t="str">
        <f>"931846"</f>
        <v>931846</v>
      </c>
      <c r="B649" t="s">
        <v>649</v>
      </c>
    </row>
    <row r="650" spans="1:2">
      <c r="A650" t="str">
        <f>"931851"</f>
        <v>931851</v>
      </c>
      <c r="B650" t="s">
        <v>650</v>
      </c>
    </row>
    <row r="651" spans="1:2">
      <c r="A651" t="str">
        <f>"931852"</f>
        <v>931852</v>
      </c>
      <c r="B651" t="s">
        <v>651</v>
      </c>
    </row>
    <row r="652" spans="1:2">
      <c r="A652" t="str">
        <f>"931854"</f>
        <v>931854</v>
      </c>
      <c r="B652" t="s">
        <v>652</v>
      </c>
    </row>
    <row r="653" spans="1:2">
      <c r="A653" t="str">
        <f>"931857"</f>
        <v>931857</v>
      </c>
      <c r="B653" t="s">
        <v>653</v>
      </c>
    </row>
    <row r="654" spans="1:2">
      <c r="A654" t="str">
        <f>"931859"</f>
        <v>931859</v>
      </c>
      <c r="B654" t="s">
        <v>654</v>
      </c>
    </row>
    <row r="655" spans="1:2">
      <c r="A655" t="str">
        <f>"931865"</f>
        <v>931865</v>
      </c>
      <c r="B655" t="s">
        <v>655</v>
      </c>
    </row>
    <row r="656" spans="1:2">
      <c r="A656" t="str">
        <f>"931866"</f>
        <v>931866</v>
      </c>
      <c r="B656" t="s">
        <v>656</v>
      </c>
    </row>
    <row r="657" spans="1:2">
      <c r="A657" t="str">
        <f>"931877"</f>
        <v>931877</v>
      </c>
      <c r="B657" t="s">
        <v>657</v>
      </c>
    </row>
    <row r="658" spans="1:2">
      <c r="A658" t="str">
        <f>"931889"</f>
        <v>931889</v>
      </c>
      <c r="B658" t="s">
        <v>658</v>
      </c>
    </row>
    <row r="659" spans="1:2">
      <c r="A659" t="str">
        <f>"931890"</f>
        <v>931890</v>
      </c>
      <c r="B659" t="s">
        <v>659</v>
      </c>
    </row>
    <row r="660" spans="1:2">
      <c r="A660" t="str">
        <f>"931891"</f>
        <v>931891</v>
      </c>
      <c r="B660" t="s">
        <v>660</v>
      </c>
    </row>
    <row r="661" spans="1:2">
      <c r="A661" t="str">
        <f>"931892"</f>
        <v>931892</v>
      </c>
      <c r="B661" t="s">
        <v>661</v>
      </c>
    </row>
    <row r="662" spans="1:2">
      <c r="A662" t="str">
        <f>"931893"</f>
        <v>931893</v>
      </c>
      <c r="B662" t="s">
        <v>662</v>
      </c>
    </row>
    <row r="663" spans="1:2">
      <c r="A663" t="str">
        <f>"931895"</f>
        <v>931895</v>
      </c>
      <c r="B663" t="s">
        <v>663</v>
      </c>
    </row>
    <row r="664" spans="1:2">
      <c r="A664" t="str">
        <f>"931896"</f>
        <v>931896</v>
      </c>
      <c r="B664" t="s">
        <v>664</v>
      </c>
    </row>
    <row r="665" spans="1:2">
      <c r="A665" t="str">
        <f>"931897"</f>
        <v>931897</v>
      </c>
      <c r="B665" t="s">
        <v>665</v>
      </c>
    </row>
    <row r="666" spans="1:2">
      <c r="A666" t="str">
        <f>"931919"</f>
        <v>931919</v>
      </c>
      <c r="B666" t="s">
        <v>666</v>
      </c>
    </row>
    <row r="667" spans="1:2">
      <c r="A667" t="str">
        <f>"931922"</f>
        <v>931922</v>
      </c>
      <c r="B667" t="s">
        <v>667</v>
      </c>
    </row>
    <row r="668" spans="1:2">
      <c r="A668" t="str">
        <f>"931930"</f>
        <v>931930</v>
      </c>
      <c r="B668" t="s">
        <v>668</v>
      </c>
    </row>
    <row r="669" spans="1:2">
      <c r="A669" t="str">
        <f>"931931"</f>
        <v>931931</v>
      </c>
      <c r="B669" t="s">
        <v>669</v>
      </c>
    </row>
    <row r="670" spans="1:2">
      <c r="A670" t="str">
        <f>"931932"</f>
        <v>931932</v>
      </c>
      <c r="B670" t="s">
        <v>670</v>
      </c>
    </row>
    <row r="671" spans="1:2">
      <c r="A671" t="str">
        <f>"931933"</f>
        <v>931933</v>
      </c>
      <c r="B671" t="s">
        <v>671</v>
      </c>
    </row>
    <row r="672" spans="1:2">
      <c r="A672" t="str">
        <f>"931934"</f>
        <v>931934</v>
      </c>
      <c r="B672" t="s">
        <v>672</v>
      </c>
    </row>
    <row r="673" spans="1:2">
      <c r="A673" t="str">
        <f>"931935"</f>
        <v>931935</v>
      </c>
      <c r="B673" t="s">
        <v>673</v>
      </c>
    </row>
    <row r="674" spans="1:2">
      <c r="A674" t="str">
        <f>"931936"</f>
        <v>931936</v>
      </c>
      <c r="B674" t="s">
        <v>674</v>
      </c>
    </row>
    <row r="675" spans="1:2">
      <c r="A675" t="str">
        <f>"931937"</f>
        <v>931937</v>
      </c>
      <c r="B675" t="s">
        <v>675</v>
      </c>
    </row>
    <row r="676" spans="1:2">
      <c r="A676" t="str">
        <f>"931938"</f>
        <v>931938</v>
      </c>
      <c r="B676" t="s">
        <v>676</v>
      </c>
    </row>
    <row r="677" spans="1:2">
      <c r="A677" t="str">
        <f>"931939"</f>
        <v>931939</v>
      </c>
      <c r="B677" t="s">
        <v>677</v>
      </c>
    </row>
    <row r="678" spans="1:2">
      <c r="A678" t="str">
        <f>"931940"</f>
        <v>931940</v>
      </c>
      <c r="B678" t="s">
        <v>678</v>
      </c>
    </row>
    <row r="679" spans="1:2">
      <c r="A679" t="str">
        <f>"931941"</f>
        <v>931941</v>
      </c>
      <c r="B679" t="s">
        <v>679</v>
      </c>
    </row>
    <row r="680" spans="1:2">
      <c r="A680" t="str">
        <f>"931942"</f>
        <v>931942</v>
      </c>
      <c r="B680" t="s">
        <v>680</v>
      </c>
    </row>
    <row r="681" spans="1:2">
      <c r="A681" t="str">
        <f>"931943"</f>
        <v>931943</v>
      </c>
      <c r="B681" t="s">
        <v>681</v>
      </c>
    </row>
    <row r="682" spans="1:2">
      <c r="A682" t="str">
        <f>"931944"</f>
        <v>931944</v>
      </c>
      <c r="B682" t="s">
        <v>682</v>
      </c>
    </row>
    <row r="683" spans="1:2">
      <c r="A683" t="str">
        <f>"931945"</f>
        <v>931945</v>
      </c>
      <c r="B683" t="s">
        <v>683</v>
      </c>
    </row>
    <row r="684" spans="1:2">
      <c r="A684" t="str">
        <f>"931989"</f>
        <v>931989</v>
      </c>
      <c r="B684" t="s">
        <v>684</v>
      </c>
    </row>
    <row r="685" spans="1:2">
      <c r="A685" t="str">
        <f>"931990"</f>
        <v>931990</v>
      </c>
      <c r="B685" t="s">
        <v>684</v>
      </c>
    </row>
    <row r="686" spans="1:2">
      <c r="A686" t="str">
        <f>"931991"</f>
        <v>931991</v>
      </c>
      <c r="B686" t="s">
        <v>684</v>
      </c>
    </row>
    <row r="687" spans="1:2">
      <c r="A687" t="str">
        <f>"931992"</f>
        <v>931992</v>
      </c>
      <c r="B687" t="s">
        <v>685</v>
      </c>
    </row>
    <row r="688" spans="1:2">
      <c r="A688" t="str">
        <f>"931994"</f>
        <v>931994</v>
      </c>
      <c r="B688" t="s">
        <v>686</v>
      </c>
    </row>
    <row r="689" spans="1:2">
      <c r="A689" t="str">
        <f>"931995"</f>
        <v>931995</v>
      </c>
      <c r="B689" t="s">
        <v>687</v>
      </c>
    </row>
    <row r="690" spans="1:2">
      <c r="A690" t="str">
        <f>"931996"</f>
        <v>931996</v>
      </c>
      <c r="B690" t="s">
        <v>688</v>
      </c>
    </row>
    <row r="691" spans="1:2">
      <c r="A691" t="str">
        <f>"932004"</f>
        <v>932004</v>
      </c>
      <c r="B691" t="s">
        <v>689</v>
      </c>
    </row>
    <row r="692" spans="1:2">
      <c r="A692" t="str">
        <f>"932006"</f>
        <v>932006</v>
      </c>
      <c r="B692" t="s">
        <v>690</v>
      </c>
    </row>
    <row r="693" spans="1:2">
      <c r="A693" t="str">
        <f>"932017"</f>
        <v>932017</v>
      </c>
      <c r="B693" t="s">
        <v>691</v>
      </c>
    </row>
    <row r="694" spans="1:2">
      <c r="A694" t="str">
        <f>"932018"</f>
        <v>932018</v>
      </c>
      <c r="B694" t="s">
        <v>692</v>
      </c>
    </row>
    <row r="695" spans="1:2">
      <c r="A695" t="str">
        <f>"932019"</f>
        <v>932019</v>
      </c>
      <c r="B695" t="s">
        <v>693</v>
      </c>
    </row>
    <row r="696" spans="1:2">
      <c r="A696" t="str">
        <f>"932020"</f>
        <v>932020</v>
      </c>
      <c r="B696" t="s">
        <v>694</v>
      </c>
    </row>
    <row r="697" spans="1:2">
      <c r="A697" t="str">
        <f>"932024"</f>
        <v>932024</v>
      </c>
      <c r="B697" t="s">
        <v>695</v>
      </c>
    </row>
    <row r="698" spans="1:2">
      <c r="A698" t="str">
        <f>"932025"</f>
        <v>932025</v>
      </c>
      <c r="B698" t="s">
        <v>696</v>
      </c>
    </row>
    <row r="699" spans="1:2">
      <c r="A699" t="str">
        <f>"932037"</f>
        <v>932037</v>
      </c>
      <c r="B699" t="s">
        <v>697</v>
      </c>
    </row>
    <row r="700" spans="1:2">
      <c r="A700" t="str">
        <f>"932038"</f>
        <v>932038</v>
      </c>
      <c r="B700" t="s">
        <v>698</v>
      </c>
    </row>
    <row r="701" spans="1:2">
      <c r="A701" t="str">
        <f>"932039"</f>
        <v>932039</v>
      </c>
      <c r="B701" t="s">
        <v>699</v>
      </c>
    </row>
    <row r="702" spans="1:2">
      <c r="A702" t="str">
        <f>"932050"</f>
        <v>932050</v>
      </c>
      <c r="B702" t="s">
        <v>700</v>
      </c>
    </row>
    <row r="703" spans="1:2">
      <c r="A703" t="str">
        <f>"932057"</f>
        <v>932057</v>
      </c>
      <c r="B703" t="s">
        <v>701</v>
      </c>
    </row>
    <row r="704" spans="1:2">
      <c r="A704" t="str">
        <f>"932068"</f>
        <v>932068</v>
      </c>
      <c r="B704" t="s">
        <v>702</v>
      </c>
    </row>
    <row r="705" spans="1:2">
      <c r="A705" t="str">
        <f>"932070"</f>
        <v>932070</v>
      </c>
      <c r="B705" t="s">
        <v>703</v>
      </c>
    </row>
    <row r="706" spans="1:2">
      <c r="A706" t="str">
        <f>"932072"</f>
        <v>932072</v>
      </c>
      <c r="B706" t="s">
        <v>704</v>
      </c>
    </row>
    <row r="707" spans="1:2">
      <c r="A707" t="str">
        <f>"932074"</f>
        <v>932074</v>
      </c>
      <c r="B707" t="s">
        <v>705</v>
      </c>
    </row>
    <row r="708" spans="1:2">
      <c r="A708" t="str">
        <f>"932075"</f>
        <v>932075</v>
      </c>
      <c r="B708" t="s">
        <v>706</v>
      </c>
    </row>
    <row r="709" spans="1:2">
      <c r="A709" t="str">
        <f>"932076"</f>
        <v>932076</v>
      </c>
      <c r="B709" t="s">
        <v>707</v>
      </c>
    </row>
    <row r="710" spans="1:2">
      <c r="A710" t="str">
        <f>"932077"</f>
        <v>932077</v>
      </c>
      <c r="B710" t="s">
        <v>708</v>
      </c>
    </row>
    <row r="711" spans="1:2">
      <c r="A711" t="str">
        <f>"932078"</f>
        <v>932078</v>
      </c>
      <c r="B711" t="s">
        <v>709</v>
      </c>
    </row>
    <row r="712" spans="1:2">
      <c r="A712" t="str">
        <f>"932079"</f>
        <v>932079</v>
      </c>
      <c r="B712" t="s">
        <v>710</v>
      </c>
    </row>
    <row r="713" spans="1:2">
      <c r="A713" t="str">
        <f>"932080"</f>
        <v>932080</v>
      </c>
      <c r="B713" t="s">
        <v>711</v>
      </c>
    </row>
    <row r="714" spans="1:2">
      <c r="A714" t="str">
        <f>"932081"</f>
        <v>932081</v>
      </c>
      <c r="B714" t="s">
        <v>712</v>
      </c>
    </row>
    <row r="715" spans="1:2">
      <c r="A715" t="str">
        <f>"932082"</f>
        <v>932082</v>
      </c>
      <c r="B715" t="s">
        <v>713</v>
      </c>
    </row>
    <row r="716" spans="1:2">
      <c r="A716" t="str">
        <f>"932083"</f>
        <v>932083</v>
      </c>
      <c r="B716" t="s">
        <v>714</v>
      </c>
    </row>
    <row r="717" spans="1:2">
      <c r="A717" t="str">
        <f>"932084"</f>
        <v>932084</v>
      </c>
      <c r="B717" t="s">
        <v>715</v>
      </c>
    </row>
    <row r="718" spans="1:2">
      <c r="A718" t="str">
        <f>"932085"</f>
        <v>932085</v>
      </c>
      <c r="B718" t="s">
        <v>716</v>
      </c>
    </row>
    <row r="719" spans="1:2">
      <c r="A719" t="str">
        <f>"932086"</f>
        <v>932086</v>
      </c>
      <c r="B719" t="s">
        <v>717</v>
      </c>
    </row>
    <row r="720" s="1" customFormat="1" spans="1:2">
      <c r="A720" s="1" t="str">
        <f>"932087"</f>
        <v>932087</v>
      </c>
      <c r="B720" s="1" t="s">
        <v>718</v>
      </c>
    </row>
    <row r="721" s="1" customFormat="1" spans="1:2">
      <c r="A721" s="1" t="str">
        <f>"932088"</f>
        <v>932088</v>
      </c>
      <c r="B721" s="1" t="s">
        <v>719</v>
      </c>
    </row>
    <row r="722" s="1" customFormat="1" spans="1:2">
      <c r="A722" s="1" t="str">
        <f>"932089"</f>
        <v>932089</v>
      </c>
      <c r="B722" s="1" t="s">
        <v>720</v>
      </c>
    </row>
    <row r="723" s="1" customFormat="1" spans="1:2">
      <c r="A723" s="1" t="str">
        <f>"932090"</f>
        <v>932090</v>
      </c>
      <c r="B723" s="1" t="s">
        <v>721</v>
      </c>
    </row>
    <row r="724" s="1" customFormat="1" spans="1:2">
      <c r="A724" s="1" t="str">
        <f>"932091"</f>
        <v>932091</v>
      </c>
      <c r="B724" s="1" t="s">
        <v>722</v>
      </c>
    </row>
    <row r="725" s="1" customFormat="1" spans="1:2">
      <c r="A725" s="1" t="str">
        <f>"932092"</f>
        <v>932092</v>
      </c>
      <c r="B725" s="1" t="s">
        <v>723</v>
      </c>
    </row>
    <row r="726" s="1" customFormat="1" spans="1:2">
      <c r="A726" s="1" t="str">
        <f>"932093"</f>
        <v>932093</v>
      </c>
      <c r="B726" s="1" t="s">
        <v>724</v>
      </c>
    </row>
    <row r="727" s="1" customFormat="1" spans="1:2">
      <c r="A727" s="1" t="str">
        <f>"932094"</f>
        <v>932094</v>
      </c>
      <c r="B727" s="1" t="s">
        <v>725</v>
      </c>
    </row>
    <row r="728" s="1" customFormat="1" spans="1:2">
      <c r="A728" s="1" t="str">
        <f>"932097"</f>
        <v>932097</v>
      </c>
      <c r="B728" s="1" t="s">
        <v>726</v>
      </c>
    </row>
    <row r="729" s="1" customFormat="1" spans="1:2">
      <c r="A729" s="1" t="str">
        <f>"932100"</f>
        <v>932100</v>
      </c>
      <c r="B729" s="1" t="s">
        <v>727</v>
      </c>
    </row>
    <row r="730" s="1" customFormat="1" spans="1:2">
      <c r="A730" s="1" t="str">
        <f>"933000"</f>
        <v>933000</v>
      </c>
      <c r="B730" s="1" t="s">
        <v>728</v>
      </c>
    </row>
    <row r="731" spans="1:2">
      <c r="A731" t="str">
        <f>"950048"</f>
        <v>950048</v>
      </c>
      <c r="B731" t="s">
        <v>729</v>
      </c>
    </row>
    <row r="732" spans="1:2">
      <c r="A732" t="str">
        <f>"950049"</f>
        <v>950049</v>
      </c>
      <c r="B732" t="s">
        <v>730</v>
      </c>
    </row>
    <row r="733" spans="1:2">
      <c r="A733" t="str">
        <f>"950070"</f>
        <v>950070</v>
      </c>
      <c r="B733" t="s">
        <v>731</v>
      </c>
    </row>
    <row r="734" spans="1:2">
      <c r="A734" t="str">
        <f>"950071"</f>
        <v>950071</v>
      </c>
      <c r="B734" t="s">
        <v>732</v>
      </c>
    </row>
    <row r="735" spans="1:2">
      <c r="A735" t="str">
        <f>"950072"</f>
        <v>950072</v>
      </c>
      <c r="B735" t="s">
        <v>733</v>
      </c>
    </row>
    <row r="736" spans="1:2">
      <c r="A736" t="str">
        <f>"950073"</f>
        <v>950073</v>
      </c>
      <c r="B736" t="s">
        <v>734</v>
      </c>
    </row>
    <row r="737" spans="1:2">
      <c r="A737" t="str">
        <f>"950074"</f>
        <v>950074</v>
      </c>
      <c r="B737" t="s">
        <v>735</v>
      </c>
    </row>
    <row r="738" spans="1:2">
      <c r="A738" t="str">
        <f>"950075"</f>
        <v>950075</v>
      </c>
      <c r="B738" t="s">
        <v>736</v>
      </c>
    </row>
    <row r="739" spans="1:2">
      <c r="A739" t="str">
        <f>"950076"</f>
        <v>950076</v>
      </c>
      <c r="B739" t="s">
        <v>737</v>
      </c>
    </row>
    <row r="740" spans="1:2">
      <c r="A740" t="str">
        <f>"950077"</f>
        <v>950077</v>
      </c>
      <c r="B740" t="s">
        <v>738</v>
      </c>
    </row>
    <row r="741" spans="1:2">
      <c r="A741" t="str">
        <f>"950078"</f>
        <v>950078</v>
      </c>
      <c r="B741" t="s">
        <v>739</v>
      </c>
    </row>
    <row r="742" spans="1:2">
      <c r="A742" t="str">
        <f>"950079"</f>
        <v>950079</v>
      </c>
      <c r="B742" t="s">
        <v>740</v>
      </c>
    </row>
    <row r="743" spans="1:2">
      <c r="A743" t="str">
        <f>"950080"</f>
        <v>950080</v>
      </c>
      <c r="B743" t="s">
        <v>741</v>
      </c>
    </row>
    <row r="744" spans="1:2">
      <c r="A744" t="str">
        <f>"950081"</f>
        <v>950081</v>
      </c>
      <c r="B744" t="s">
        <v>742</v>
      </c>
    </row>
    <row r="745" spans="1:2">
      <c r="A745" t="str">
        <f>"950082"</f>
        <v>950082</v>
      </c>
      <c r="B745" t="s">
        <v>743</v>
      </c>
    </row>
    <row r="746" spans="1:2">
      <c r="A746" t="str">
        <f>"950083"</f>
        <v>950083</v>
      </c>
      <c r="B746" t="s">
        <v>744</v>
      </c>
    </row>
    <row r="747" spans="1:2">
      <c r="A747" t="str">
        <f>"950085"</f>
        <v>950085</v>
      </c>
      <c r="B747" t="s">
        <v>745</v>
      </c>
    </row>
    <row r="748" spans="1:2">
      <c r="A748" t="str">
        <f>"950086"</f>
        <v>950086</v>
      </c>
      <c r="B748" t="s">
        <v>746</v>
      </c>
    </row>
    <row r="749" spans="1:2">
      <c r="A749" t="str">
        <f>"950087"</f>
        <v>950087</v>
      </c>
      <c r="B749" t="s">
        <v>747</v>
      </c>
    </row>
    <row r="750" spans="1:2">
      <c r="A750" t="str">
        <f>"950088"</f>
        <v>950088</v>
      </c>
      <c r="B750" t="s">
        <v>748</v>
      </c>
    </row>
    <row r="751" spans="1:2">
      <c r="A751" t="str">
        <f>"950089"</f>
        <v>950089</v>
      </c>
      <c r="B751" t="s">
        <v>749</v>
      </c>
    </row>
    <row r="752" spans="1:2">
      <c r="A752" t="str">
        <f>"950090"</f>
        <v>950090</v>
      </c>
      <c r="B752" t="s">
        <v>750</v>
      </c>
    </row>
    <row r="753" spans="1:2">
      <c r="A753" t="str">
        <f>"950092"</f>
        <v>950092</v>
      </c>
      <c r="B753" t="s">
        <v>751</v>
      </c>
    </row>
    <row r="754" spans="1:2">
      <c r="A754" t="str">
        <f>"950094"</f>
        <v>950094</v>
      </c>
      <c r="B754" t="s">
        <v>752</v>
      </c>
    </row>
    <row r="755" spans="1:2">
      <c r="A755" t="str">
        <f>"950095"</f>
        <v>950095</v>
      </c>
      <c r="B755" t="s">
        <v>753</v>
      </c>
    </row>
    <row r="756" spans="1:2">
      <c r="A756" t="str">
        <f>"950096"</f>
        <v>950096</v>
      </c>
      <c r="B756" t="s">
        <v>754</v>
      </c>
    </row>
    <row r="757" spans="1:2">
      <c r="A757" t="str">
        <f>"950097"</f>
        <v>950097</v>
      </c>
      <c r="B757" t="s">
        <v>755</v>
      </c>
    </row>
    <row r="758" spans="1:2">
      <c r="A758" t="str">
        <f>"950098"</f>
        <v>950098</v>
      </c>
      <c r="B758" t="s">
        <v>756</v>
      </c>
    </row>
    <row r="759" spans="1:2">
      <c r="A759" t="str">
        <f>"950099"</f>
        <v>950099</v>
      </c>
      <c r="B759" t="s">
        <v>757</v>
      </c>
    </row>
    <row r="760" spans="1:2">
      <c r="A760" t="str">
        <f>"950100"</f>
        <v>950100</v>
      </c>
      <c r="B760" t="s">
        <v>758</v>
      </c>
    </row>
    <row r="761" spans="1:2">
      <c r="A761" t="str">
        <f>"950101"</f>
        <v>950101</v>
      </c>
      <c r="B761" t="s">
        <v>759</v>
      </c>
    </row>
    <row r="762" spans="1:2">
      <c r="A762" t="str">
        <f>"950105"</f>
        <v>950105</v>
      </c>
      <c r="B762" t="s">
        <v>760</v>
      </c>
    </row>
    <row r="763" spans="1:2">
      <c r="A763" t="str">
        <f>"950106"</f>
        <v>950106</v>
      </c>
      <c r="B763" t="s">
        <v>761</v>
      </c>
    </row>
    <row r="764" spans="1:2">
      <c r="A764" t="str">
        <f>"950107"</f>
        <v>950107</v>
      </c>
      <c r="B764" t="s">
        <v>762</v>
      </c>
    </row>
    <row r="765" spans="1:2">
      <c r="A765" t="str">
        <f>"950189"</f>
        <v>950189</v>
      </c>
      <c r="B765" t="s">
        <v>763</v>
      </c>
    </row>
    <row r="766" spans="1:2">
      <c r="A766" t="str">
        <f>"950194"</f>
        <v>950194</v>
      </c>
      <c r="B766" t="s">
        <v>764</v>
      </c>
    </row>
    <row r="767" spans="1:2">
      <c r="A767" t="str">
        <f>"950215"</f>
        <v>950215</v>
      </c>
      <c r="B767" t="s">
        <v>765</v>
      </c>
    </row>
    <row r="768" spans="1:2">
      <c r="A768" t="str">
        <f>"950216"</f>
        <v>950216</v>
      </c>
      <c r="B768" t="s">
        <v>766</v>
      </c>
    </row>
    <row r="769" spans="1:2">
      <c r="A769" t="str">
        <f>"950217"</f>
        <v>950217</v>
      </c>
      <c r="B769" t="s">
        <v>767</v>
      </c>
    </row>
    <row r="770" spans="1:2">
      <c r="A770" t="str">
        <f>"950218"</f>
        <v>950218</v>
      </c>
      <c r="B770" t="s">
        <v>768</v>
      </c>
    </row>
    <row r="771" spans="1:2">
      <c r="A771" t="str">
        <f>"950219"</f>
        <v>950219</v>
      </c>
      <c r="B771" t="s">
        <v>769</v>
      </c>
    </row>
    <row r="772" spans="1:2">
      <c r="A772" t="str">
        <f>"950220"</f>
        <v>950220</v>
      </c>
      <c r="B772" t="s">
        <v>770</v>
      </c>
    </row>
    <row r="773" spans="1:2">
      <c r="A773" t="str">
        <f>"950223"</f>
        <v>950223</v>
      </c>
      <c r="B773" t="s">
        <v>771</v>
      </c>
    </row>
    <row r="774" spans="1:2">
      <c r="A774" t="str">
        <f>"950224"</f>
        <v>950224</v>
      </c>
      <c r="B774" t="s">
        <v>772</v>
      </c>
    </row>
    <row r="775" spans="1:2">
      <c r="A775" t="str">
        <f>"950225"</f>
        <v>950225</v>
      </c>
      <c r="B775" t="s">
        <v>773</v>
      </c>
    </row>
    <row r="776" spans="1:2">
      <c r="A776" t="str">
        <f>"950226"</f>
        <v>950226</v>
      </c>
      <c r="B776" t="s">
        <v>774</v>
      </c>
    </row>
    <row r="777" spans="1:2">
      <c r="A777" t="str">
        <f>"950227"</f>
        <v>950227</v>
      </c>
      <c r="B777" t="s">
        <v>775</v>
      </c>
    </row>
    <row r="778" spans="1:2">
      <c r="A778" t="str">
        <f>"950229"</f>
        <v>950229</v>
      </c>
      <c r="B778" t="s">
        <v>776</v>
      </c>
    </row>
    <row r="779" spans="1:2">
      <c r="A779" t="str">
        <f>"950238"</f>
        <v>950238</v>
      </c>
      <c r="B779" t="s">
        <v>777</v>
      </c>
    </row>
    <row r="780" spans="1:2">
      <c r="A780" t="str">
        <f>"950239"</f>
        <v>950239</v>
      </c>
      <c r="B780" t="s">
        <v>778</v>
      </c>
    </row>
    <row r="781" spans="1:2">
      <c r="A781" t="str">
        <f>"990001"</f>
        <v>990001</v>
      </c>
      <c r="B781" t="s">
        <v>779</v>
      </c>
    </row>
    <row r="782" spans="1:2">
      <c r="A782" t="str">
        <f>"CES100"</f>
        <v>CES100</v>
      </c>
      <c r="B782" t="s">
        <v>780</v>
      </c>
    </row>
    <row r="783" spans="1:2">
      <c r="A783" t="str">
        <f>"CES120"</f>
        <v>CES120</v>
      </c>
      <c r="B783" t="s">
        <v>781</v>
      </c>
    </row>
    <row r="784" spans="1:2">
      <c r="A784" t="str">
        <f>"CES280"</f>
        <v>CES280</v>
      </c>
      <c r="B784" t="s">
        <v>782</v>
      </c>
    </row>
    <row r="785" spans="1:2">
      <c r="A785" t="str">
        <f>"CES300"</f>
        <v>CES300</v>
      </c>
      <c r="B785" t="s">
        <v>783</v>
      </c>
    </row>
    <row r="786" spans="1:2">
      <c r="A786" t="str">
        <f>"CESA80"</f>
        <v>CESA80</v>
      </c>
      <c r="B786" t="s">
        <v>784</v>
      </c>
    </row>
    <row r="787" spans="1:2">
      <c r="A787" t="str">
        <f>"CESCPD"</f>
        <v>CESCPD</v>
      </c>
      <c r="B787" t="s">
        <v>785</v>
      </c>
    </row>
    <row r="788" spans="1:2">
      <c r="A788" t="str">
        <f>"CESFHY"</f>
        <v>CESFHY</v>
      </c>
      <c r="B788" t="s">
        <v>786</v>
      </c>
    </row>
    <row r="789" spans="1:2">
      <c r="A789" t="str">
        <f>"CESG10"</f>
        <v>CESG10</v>
      </c>
      <c r="B789" t="s">
        <v>787</v>
      </c>
    </row>
    <row r="790" spans="1:2">
      <c r="A790" t="str">
        <f>"CESHKB"</f>
        <v>CESHKB</v>
      </c>
      <c r="B790" t="s">
        <v>788</v>
      </c>
    </row>
    <row r="791" spans="1:2">
      <c r="A791" t="str">
        <f>"CESHKM"</f>
        <v>CESHKM</v>
      </c>
      <c r="B791" t="s">
        <v>789</v>
      </c>
    </row>
    <row r="792" spans="1:2">
      <c r="A792" t="str">
        <f>"CESP50"</f>
        <v>CESP50</v>
      </c>
      <c r="B792" t="s">
        <v>790</v>
      </c>
    </row>
    <row r="793" spans="1:2">
      <c r="A793" t="str">
        <f>"H00300"</f>
        <v>H00300</v>
      </c>
      <c r="B793" t="s">
        <v>791</v>
      </c>
    </row>
    <row r="794" spans="1:2">
      <c r="A794" t="str">
        <f>"H00922"</f>
        <v>H00922</v>
      </c>
      <c r="B794" t="s">
        <v>792</v>
      </c>
    </row>
    <row r="795" spans="1:2">
      <c r="A795" t="str">
        <f>"H00999"</f>
        <v>H00999</v>
      </c>
      <c r="B795" t="s">
        <v>793</v>
      </c>
    </row>
    <row r="796" spans="1:2">
      <c r="A796" t="str">
        <f>"H11001"</f>
        <v>H11001</v>
      </c>
      <c r="B796" t="s">
        <v>794</v>
      </c>
    </row>
    <row r="797" spans="1:2">
      <c r="A797" t="str">
        <f>"H11009"</f>
        <v>H11009</v>
      </c>
      <c r="B797" t="s">
        <v>795</v>
      </c>
    </row>
    <row r="798" spans="1:2">
      <c r="A798" t="str">
        <f>"H11020"</f>
        <v>H11020</v>
      </c>
      <c r="B798" t="s">
        <v>796</v>
      </c>
    </row>
    <row r="799" spans="1:2">
      <c r="A799" t="str">
        <f>"H11021"</f>
        <v>H11021</v>
      </c>
      <c r="B799" t="s">
        <v>797</v>
      </c>
    </row>
    <row r="800" spans="1:2">
      <c r="A800" t="str">
        <f>"H11022"</f>
        <v>H11022</v>
      </c>
      <c r="B800" t="s">
        <v>798</v>
      </c>
    </row>
    <row r="801" spans="1:2">
      <c r="A801" t="str">
        <f>"H11023"</f>
        <v>H11023</v>
      </c>
      <c r="B801" t="s">
        <v>799</v>
      </c>
    </row>
    <row r="802" spans="1:2">
      <c r="A802" t="str">
        <f>"H11024"</f>
        <v>H11024</v>
      </c>
      <c r="B802" t="s">
        <v>800</v>
      </c>
    </row>
    <row r="803" spans="1:2">
      <c r="A803" t="str">
        <f>"H11025"</f>
        <v>H11025</v>
      </c>
      <c r="B803" t="s">
        <v>801</v>
      </c>
    </row>
    <row r="804" spans="1:2">
      <c r="A804" t="str">
        <f>"H11026"</f>
        <v>H11026</v>
      </c>
      <c r="B804" t="s">
        <v>802</v>
      </c>
    </row>
    <row r="805" spans="1:2">
      <c r="A805" t="str">
        <f>"H11027"</f>
        <v>H11027</v>
      </c>
      <c r="B805" t="s">
        <v>803</v>
      </c>
    </row>
    <row r="806" spans="1:2">
      <c r="A806" t="str">
        <f>"H11028"</f>
        <v>H11028</v>
      </c>
      <c r="B806" t="s">
        <v>804</v>
      </c>
    </row>
    <row r="807" spans="1:2">
      <c r="A807" t="str">
        <f>"H11030"</f>
        <v>H11030</v>
      </c>
      <c r="B807" t="s">
        <v>805</v>
      </c>
    </row>
    <row r="808" spans="1:2">
      <c r="A808" t="str">
        <f>"H11031"</f>
        <v>H11031</v>
      </c>
      <c r="B808" t="s">
        <v>806</v>
      </c>
    </row>
    <row r="809" spans="1:2">
      <c r="A809" t="str">
        <f>"H11041"</f>
        <v>H11041</v>
      </c>
      <c r="B809" t="s">
        <v>807</v>
      </c>
    </row>
    <row r="810" spans="1:2">
      <c r="A810" t="str">
        <f>"H11042"</f>
        <v>H11042</v>
      </c>
      <c r="B810" t="s">
        <v>808</v>
      </c>
    </row>
    <row r="811" spans="1:2">
      <c r="A811" t="str">
        <f>"H11043"</f>
        <v>H11043</v>
      </c>
      <c r="B811" t="s">
        <v>809</v>
      </c>
    </row>
    <row r="812" spans="1:2">
      <c r="A812" t="str">
        <f>"H11044"</f>
        <v>H11044</v>
      </c>
      <c r="B812" t="s">
        <v>810</v>
      </c>
    </row>
    <row r="813" spans="1:2">
      <c r="A813" t="str">
        <f>"H11045"</f>
        <v>H11045</v>
      </c>
      <c r="B813" t="s">
        <v>811</v>
      </c>
    </row>
    <row r="814" spans="1:2">
      <c r="A814" t="str">
        <f>"H11046"</f>
        <v>H11046</v>
      </c>
      <c r="B814" t="s">
        <v>812</v>
      </c>
    </row>
    <row r="815" spans="1:2">
      <c r="A815" t="str">
        <f>"H11047"</f>
        <v>H11047</v>
      </c>
      <c r="B815" t="s">
        <v>813</v>
      </c>
    </row>
    <row r="816" spans="1:2">
      <c r="A816" t="str">
        <f>"H11049"</f>
        <v>H11049</v>
      </c>
      <c r="B816" t="s">
        <v>814</v>
      </c>
    </row>
    <row r="817" spans="1:2">
      <c r="A817" t="str">
        <f>"H11050"</f>
        <v>H11050</v>
      </c>
      <c r="B817" t="s">
        <v>815</v>
      </c>
    </row>
    <row r="818" spans="1:2">
      <c r="A818" t="str">
        <f>"H11051"</f>
        <v>H11051</v>
      </c>
      <c r="B818" t="s">
        <v>816</v>
      </c>
    </row>
    <row r="819" spans="1:2">
      <c r="A819" t="str">
        <f>"H11052"</f>
        <v>H11052</v>
      </c>
      <c r="B819" t="s">
        <v>817</v>
      </c>
    </row>
    <row r="820" spans="1:2">
      <c r="A820" t="str">
        <f>"H11053"</f>
        <v>H11053</v>
      </c>
      <c r="B820" t="s">
        <v>818</v>
      </c>
    </row>
    <row r="821" spans="1:2">
      <c r="A821" t="str">
        <f>"H11054"</f>
        <v>H11054</v>
      </c>
      <c r="B821" t="s">
        <v>819</v>
      </c>
    </row>
    <row r="822" spans="1:2">
      <c r="A822" t="str">
        <f>"H11055"</f>
        <v>H11055</v>
      </c>
      <c r="B822" t="s">
        <v>820</v>
      </c>
    </row>
    <row r="823" spans="1:2">
      <c r="A823" t="str">
        <f>"H11057"</f>
        <v>H11057</v>
      </c>
      <c r="B823" t="s">
        <v>821</v>
      </c>
    </row>
    <row r="824" spans="1:2">
      <c r="A824" t="str">
        <f>"H11058"</f>
        <v>H11058</v>
      </c>
      <c r="B824" t="s">
        <v>822</v>
      </c>
    </row>
    <row r="825" spans="1:2">
      <c r="A825" t="str">
        <f>"H11059"</f>
        <v>H11059</v>
      </c>
      <c r="B825" t="s">
        <v>823</v>
      </c>
    </row>
    <row r="826" spans="1:2">
      <c r="A826" t="str">
        <f>"H11060"</f>
        <v>H11060</v>
      </c>
      <c r="B826" t="s">
        <v>824</v>
      </c>
    </row>
    <row r="827" spans="1:2">
      <c r="A827" t="str">
        <f>"H11080"</f>
        <v>H11080</v>
      </c>
      <c r="B827" t="s">
        <v>825</v>
      </c>
    </row>
    <row r="828" spans="1:2">
      <c r="A828" t="str">
        <f>"H11081"</f>
        <v>H11081</v>
      </c>
      <c r="B828" t="s">
        <v>826</v>
      </c>
    </row>
    <row r="829" spans="1:2">
      <c r="A829" t="str">
        <f>"H11082"</f>
        <v>H11082</v>
      </c>
      <c r="B829" t="s">
        <v>827</v>
      </c>
    </row>
    <row r="830" spans="1:2">
      <c r="A830" t="str">
        <f>"H11083"</f>
        <v>H11083</v>
      </c>
      <c r="B830" t="s">
        <v>828</v>
      </c>
    </row>
    <row r="831" spans="1:2">
      <c r="A831" t="str">
        <f>"H11084"</f>
        <v>H11084</v>
      </c>
      <c r="B831" t="s">
        <v>829</v>
      </c>
    </row>
    <row r="832" spans="1:2">
      <c r="A832" t="str">
        <f>"H11085"</f>
        <v>H11085</v>
      </c>
      <c r="B832" t="s">
        <v>830</v>
      </c>
    </row>
    <row r="833" spans="1:2">
      <c r="A833" t="str">
        <f>"H11086"</f>
        <v>H11086</v>
      </c>
      <c r="B833" t="s">
        <v>831</v>
      </c>
    </row>
    <row r="834" spans="1:2">
      <c r="A834" t="str">
        <f>"H11087"</f>
        <v>H11087</v>
      </c>
      <c r="B834" t="s">
        <v>832</v>
      </c>
    </row>
    <row r="835" spans="1:2">
      <c r="A835" t="str">
        <f>"H11100"</f>
        <v>H11100</v>
      </c>
      <c r="B835" t="s">
        <v>833</v>
      </c>
    </row>
    <row r="836" spans="1:2">
      <c r="A836" t="str">
        <f>"H11110"</f>
        <v>H11110</v>
      </c>
      <c r="B836" t="s">
        <v>834</v>
      </c>
    </row>
    <row r="837" spans="1:2">
      <c r="A837" t="str">
        <f>"H11120"</f>
        <v>H11120</v>
      </c>
      <c r="B837" t="s">
        <v>835</v>
      </c>
    </row>
    <row r="838" spans="1:2">
      <c r="A838" t="str">
        <f>"H11121"</f>
        <v>H11121</v>
      </c>
      <c r="B838" t="s">
        <v>836</v>
      </c>
    </row>
    <row r="839" spans="1:2">
      <c r="A839" t="str">
        <f>"H11123"</f>
        <v>H11123</v>
      </c>
      <c r="B839" t="s">
        <v>837</v>
      </c>
    </row>
    <row r="840" spans="1:2">
      <c r="A840" t="str">
        <f>"H11136"</f>
        <v>H11136</v>
      </c>
      <c r="B840" t="s">
        <v>838</v>
      </c>
    </row>
    <row r="841" spans="1:2">
      <c r="A841" t="str">
        <f>"H11140"</f>
        <v>H11140</v>
      </c>
      <c r="B841" t="s">
        <v>839</v>
      </c>
    </row>
    <row r="842" spans="1:2">
      <c r="A842" t="str">
        <f>"H11143"</f>
        <v>H11143</v>
      </c>
      <c r="B842" t="s">
        <v>840</v>
      </c>
    </row>
    <row r="843" spans="1:2">
      <c r="A843" t="str">
        <f>"H11144"</f>
        <v>H11144</v>
      </c>
      <c r="B843" t="s">
        <v>841</v>
      </c>
    </row>
    <row r="844" spans="1:2">
      <c r="A844" t="str">
        <f>"H11146"</f>
        <v>H11146</v>
      </c>
      <c r="B844" t="s">
        <v>842</v>
      </c>
    </row>
    <row r="845" spans="1:2">
      <c r="A845" t="str">
        <f>"H11152"</f>
        <v>H11152</v>
      </c>
      <c r="B845" t="s">
        <v>843</v>
      </c>
    </row>
    <row r="846" spans="1:2">
      <c r="A846" t="str">
        <f>"H11153"</f>
        <v>H11153</v>
      </c>
      <c r="B846" t="s">
        <v>844</v>
      </c>
    </row>
    <row r="847" spans="1:2">
      <c r="A847" t="str">
        <f>"H11164"</f>
        <v>H11164</v>
      </c>
      <c r="B847" t="s">
        <v>845</v>
      </c>
    </row>
    <row r="848" spans="1:2">
      <c r="A848" t="str">
        <f>"H20937"</f>
        <v>H20937</v>
      </c>
      <c r="B848" t="s">
        <v>846</v>
      </c>
    </row>
    <row r="849" spans="1:2">
      <c r="A849" t="str">
        <f>"H21053"</f>
        <v>H21053</v>
      </c>
      <c r="B849" t="s">
        <v>847</v>
      </c>
    </row>
    <row r="850" spans="1:2">
      <c r="A850" t="str">
        <f>"H30001"</f>
        <v>H30001</v>
      </c>
      <c r="B850" t="s">
        <v>848</v>
      </c>
    </row>
    <row r="851" spans="1:2">
      <c r="A851" t="str">
        <f>"H30002"</f>
        <v>H30002</v>
      </c>
      <c r="B851" t="s">
        <v>849</v>
      </c>
    </row>
    <row r="852" spans="1:2">
      <c r="A852" t="str">
        <f>"H30004"</f>
        <v>H30004</v>
      </c>
      <c r="B852" t="s">
        <v>850</v>
      </c>
    </row>
    <row r="853" spans="1:2">
      <c r="A853" t="str">
        <f>"H30005"</f>
        <v>H30005</v>
      </c>
      <c r="B853" t="s">
        <v>851</v>
      </c>
    </row>
    <row r="854" spans="1:2">
      <c r="A854" t="str">
        <f>"H30006"</f>
        <v>H30006</v>
      </c>
      <c r="B854" t="s">
        <v>852</v>
      </c>
    </row>
    <row r="855" spans="1:2">
      <c r="A855" t="str">
        <f>"H30007"</f>
        <v>H30007</v>
      </c>
      <c r="B855" t="s">
        <v>853</v>
      </c>
    </row>
    <row r="856" spans="1:2">
      <c r="A856" t="str">
        <f>"H30010"</f>
        <v>H30010</v>
      </c>
      <c r="B856" t="s">
        <v>854</v>
      </c>
    </row>
    <row r="857" spans="1:2">
      <c r="A857" t="str">
        <f>"H30011"</f>
        <v>H30011</v>
      </c>
      <c r="B857" t="s">
        <v>74</v>
      </c>
    </row>
    <row r="858" spans="1:2">
      <c r="A858" t="str">
        <f>"H30012"</f>
        <v>H30012</v>
      </c>
      <c r="B858" t="s">
        <v>855</v>
      </c>
    </row>
    <row r="859" spans="1:2">
      <c r="A859" t="str">
        <f>"H30013"</f>
        <v>H30013</v>
      </c>
      <c r="B859" t="s">
        <v>856</v>
      </c>
    </row>
    <row r="860" spans="1:2">
      <c r="A860" t="str">
        <f>"H30014"</f>
        <v>H30014</v>
      </c>
      <c r="B860" t="s">
        <v>857</v>
      </c>
    </row>
    <row r="861" spans="1:2">
      <c r="A861" t="str">
        <f>"H30015"</f>
        <v>H30015</v>
      </c>
      <c r="B861" t="s">
        <v>858</v>
      </c>
    </row>
    <row r="862" spans="1:2">
      <c r="A862" t="str">
        <f>"H30016"</f>
        <v>H30016</v>
      </c>
      <c r="B862" t="s">
        <v>859</v>
      </c>
    </row>
    <row r="863" spans="1:2">
      <c r="A863" t="str">
        <f>"H30017"</f>
        <v>H30017</v>
      </c>
      <c r="B863" t="s">
        <v>860</v>
      </c>
    </row>
    <row r="864" spans="1:2">
      <c r="A864" t="str">
        <f>"H30018"</f>
        <v>H30018</v>
      </c>
      <c r="B864" t="s">
        <v>861</v>
      </c>
    </row>
    <row r="865" spans="1:2">
      <c r="A865" t="str">
        <f>"H30019"</f>
        <v>H30019</v>
      </c>
      <c r="B865" t="s">
        <v>862</v>
      </c>
    </row>
    <row r="866" spans="1:2">
      <c r="A866" t="str">
        <f>"H30020"</f>
        <v>H30020</v>
      </c>
      <c r="B866" t="s">
        <v>863</v>
      </c>
    </row>
    <row r="867" spans="1:2">
      <c r="A867" t="str">
        <f>"H30022"</f>
        <v>H30022</v>
      </c>
      <c r="B867" t="s">
        <v>864</v>
      </c>
    </row>
    <row r="868" spans="1:2">
      <c r="A868" t="str">
        <f>"H30023"</f>
        <v>H30023</v>
      </c>
      <c r="B868" t="s">
        <v>865</v>
      </c>
    </row>
    <row r="869" spans="1:2">
      <c r="A869" t="str">
        <f>"H30024"</f>
        <v>H30024</v>
      </c>
      <c r="B869" t="s">
        <v>866</v>
      </c>
    </row>
    <row r="870" spans="1:2">
      <c r="A870" t="str">
        <f>"H30026"</f>
        <v>H30026</v>
      </c>
      <c r="B870" t="s">
        <v>867</v>
      </c>
    </row>
    <row r="871" spans="1:2">
      <c r="A871" t="str">
        <f>"H30028"</f>
        <v>H30028</v>
      </c>
      <c r="B871" t="s">
        <v>868</v>
      </c>
    </row>
    <row r="872" spans="1:2">
      <c r="A872" t="str">
        <f>"H30029"</f>
        <v>H30029</v>
      </c>
      <c r="B872" t="s">
        <v>81</v>
      </c>
    </row>
    <row r="873" spans="1:2">
      <c r="A873" t="str">
        <f>"H30031"</f>
        <v>H30031</v>
      </c>
      <c r="B873" t="s">
        <v>869</v>
      </c>
    </row>
    <row r="874" spans="1:2">
      <c r="A874" t="str">
        <f>"H30034"</f>
        <v>H30034</v>
      </c>
      <c r="B874" t="s">
        <v>870</v>
      </c>
    </row>
    <row r="875" spans="1:2">
      <c r="A875" t="str">
        <f>"H30035"</f>
        <v>H30035</v>
      </c>
      <c r="B875" t="s">
        <v>871</v>
      </c>
    </row>
    <row r="876" spans="1:2">
      <c r="A876" t="str">
        <f>"H30036"</f>
        <v>H30036</v>
      </c>
      <c r="B876" t="s">
        <v>872</v>
      </c>
    </row>
    <row r="877" spans="1:2">
      <c r="A877" t="str">
        <f>"H30037"</f>
        <v>H30037</v>
      </c>
      <c r="B877" t="s">
        <v>873</v>
      </c>
    </row>
    <row r="878" spans="1:2">
      <c r="A878" t="str">
        <f>"H30038"</f>
        <v>H30038</v>
      </c>
      <c r="B878" t="s">
        <v>874</v>
      </c>
    </row>
    <row r="879" spans="1:2">
      <c r="A879" t="str">
        <f>"H30039"</f>
        <v>H30039</v>
      </c>
      <c r="B879" t="s">
        <v>875</v>
      </c>
    </row>
    <row r="880" spans="1:2">
      <c r="A880" t="str">
        <f>"H30040"</f>
        <v>H30040</v>
      </c>
      <c r="B880" t="s">
        <v>876</v>
      </c>
    </row>
    <row r="881" spans="1:2">
      <c r="A881" t="str">
        <f>"H30041"</f>
        <v>H30041</v>
      </c>
      <c r="B881" t="s">
        <v>877</v>
      </c>
    </row>
    <row r="882" spans="1:2">
      <c r="A882" t="str">
        <f>"H30042"</f>
        <v>H30042</v>
      </c>
      <c r="B882" t="s">
        <v>878</v>
      </c>
    </row>
    <row r="883" spans="1:2">
      <c r="A883" t="str">
        <f>"H30043"</f>
        <v>H30043</v>
      </c>
      <c r="B883" t="s">
        <v>879</v>
      </c>
    </row>
    <row r="884" spans="1:2">
      <c r="A884" t="str">
        <f>"H30044"</f>
        <v>H30044</v>
      </c>
      <c r="B884" t="s">
        <v>880</v>
      </c>
    </row>
    <row r="885" spans="1:2">
      <c r="A885" t="str">
        <f>"H30045"</f>
        <v>H30045</v>
      </c>
      <c r="B885" t="s">
        <v>881</v>
      </c>
    </row>
    <row r="886" spans="1:2">
      <c r="A886" t="str">
        <f>"H30046"</f>
        <v>H30046</v>
      </c>
      <c r="B886" t="s">
        <v>882</v>
      </c>
    </row>
    <row r="887" spans="1:2">
      <c r="A887" t="str">
        <f>"H30047"</f>
        <v>H30047</v>
      </c>
      <c r="B887" t="s">
        <v>883</v>
      </c>
    </row>
    <row r="888" spans="1:2">
      <c r="A888" t="str">
        <f>"H30048"</f>
        <v>H30048</v>
      </c>
      <c r="B888" t="s">
        <v>884</v>
      </c>
    </row>
    <row r="889" spans="1:2">
      <c r="A889" t="str">
        <f>"H30049"</f>
        <v>H30049</v>
      </c>
      <c r="B889" t="s">
        <v>885</v>
      </c>
    </row>
    <row r="890" spans="1:2">
      <c r="A890" t="str">
        <f>"H30050"</f>
        <v>H30050</v>
      </c>
      <c r="B890" t="s">
        <v>886</v>
      </c>
    </row>
    <row r="891" spans="1:2">
      <c r="A891" t="str">
        <f>"H30051"</f>
        <v>H30051</v>
      </c>
      <c r="B891" t="s">
        <v>887</v>
      </c>
    </row>
    <row r="892" spans="1:2">
      <c r="A892" t="str">
        <f>"H30052"</f>
        <v>H30052</v>
      </c>
      <c r="B892" t="s">
        <v>888</v>
      </c>
    </row>
    <row r="893" spans="1:2">
      <c r="A893" t="str">
        <f>"H30053"</f>
        <v>H30053</v>
      </c>
      <c r="B893" t="s">
        <v>889</v>
      </c>
    </row>
    <row r="894" spans="1:2">
      <c r="A894" t="str">
        <f>"H30054"</f>
        <v>H30054</v>
      </c>
      <c r="B894" t="s">
        <v>890</v>
      </c>
    </row>
    <row r="895" spans="1:2">
      <c r="A895" t="str">
        <f>"H30055"</f>
        <v>H30055</v>
      </c>
      <c r="B895" t="s">
        <v>891</v>
      </c>
    </row>
    <row r="896" spans="1:2">
      <c r="A896" t="str">
        <f>"H30056"</f>
        <v>H30056</v>
      </c>
      <c r="B896" t="s">
        <v>892</v>
      </c>
    </row>
    <row r="897" spans="1:2">
      <c r="A897" t="str">
        <f>"H30057"</f>
        <v>H30057</v>
      </c>
      <c r="B897" t="s">
        <v>893</v>
      </c>
    </row>
    <row r="898" spans="1:2">
      <c r="A898" t="str">
        <f>"H30058"</f>
        <v>H30058</v>
      </c>
      <c r="B898" t="s">
        <v>894</v>
      </c>
    </row>
    <row r="899" spans="1:2">
      <c r="A899" t="str">
        <f>"H30059"</f>
        <v>H30059</v>
      </c>
      <c r="B899" t="s">
        <v>895</v>
      </c>
    </row>
    <row r="900" spans="1:2">
      <c r="A900" t="str">
        <f>"H30060"</f>
        <v>H30060</v>
      </c>
      <c r="B900" t="s">
        <v>896</v>
      </c>
    </row>
    <row r="901" spans="1:2">
      <c r="A901" t="str">
        <f>"H30061"</f>
        <v>H30061</v>
      </c>
      <c r="B901" t="s">
        <v>897</v>
      </c>
    </row>
    <row r="902" spans="1:2">
      <c r="A902" t="str">
        <f>"H30062"</f>
        <v>H30062</v>
      </c>
      <c r="B902" t="s">
        <v>898</v>
      </c>
    </row>
    <row r="903" spans="1:2">
      <c r="A903" t="str">
        <f>"H30063"</f>
        <v>H30063</v>
      </c>
      <c r="B903" t="s">
        <v>899</v>
      </c>
    </row>
    <row r="904" spans="1:2">
      <c r="A904" t="str">
        <f>"H30064"</f>
        <v>H30064</v>
      </c>
      <c r="B904" t="s">
        <v>900</v>
      </c>
    </row>
    <row r="905" spans="1:2">
      <c r="A905" t="str">
        <f>"H30065"</f>
        <v>H30065</v>
      </c>
      <c r="B905" t="s">
        <v>901</v>
      </c>
    </row>
    <row r="906" spans="1:2">
      <c r="A906" t="str">
        <f>"H30066"</f>
        <v>H30066</v>
      </c>
      <c r="B906" t="s">
        <v>902</v>
      </c>
    </row>
    <row r="907" spans="1:2">
      <c r="A907" t="str">
        <f>"H30067"</f>
        <v>H30067</v>
      </c>
      <c r="B907" t="s">
        <v>903</v>
      </c>
    </row>
    <row r="908" spans="1:2">
      <c r="A908" t="str">
        <f>"H30068"</f>
        <v>H30068</v>
      </c>
      <c r="B908" t="s">
        <v>904</v>
      </c>
    </row>
    <row r="909" spans="1:2">
      <c r="A909" t="str">
        <f>"H30073"</f>
        <v>H30073</v>
      </c>
      <c r="B909" t="s">
        <v>905</v>
      </c>
    </row>
    <row r="910" spans="1:2">
      <c r="A910" t="str">
        <f>"H30074"</f>
        <v>H30074</v>
      </c>
      <c r="B910" t="s">
        <v>906</v>
      </c>
    </row>
    <row r="911" spans="1:2">
      <c r="A911" t="str">
        <f>"H30079"</f>
        <v>H30079</v>
      </c>
      <c r="B911" t="s">
        <v>907</v>
      </c>
    </row>
    <row r="912" spans="1:2">
      <c r="A912" t="str">
        <f>"H30080"</f>
        <v>H30080</v>
      </c>
      <c r="B912" t="s">
        <v>908</v>
      </c>
    </row>
    <row r="913" spans="1:2">
      <c r="A913" t="str">
        <f>"H30081"</f>
        <v>H30081</v>
      </c>
      <c r="B913" t="s">
        <v>909</v>
      </c>
    </row>
    <row r="914" spans="1:2">
      <c r="A914" t="str">
        <f>"H30082"</f>
        <v>H30082</v>
      </c>
      <c r="B914" t="s">
        <v>910</v>
      </c>
    </row>
    <row r="915" spans="1:2">
      <c r="A915" t="str">
        <f>"H30083"</f>
        <v>H30083</v>
      </c>
      <c r="B915" t="s">
        <v>911</v>
      </c>
    </row>
    <row r="916" spans="1:2">
      <c r="A916" t="str">
        <f>"H30084"</f>
        <v>H30084</v>
      </c>
      <c r="B916" t="s">
        <v>912</v>
      </c>
    </row>
    <row r="917" spans="1:2">
      <c r="A917" t="str">
        <f>"H30086"</f>
        <v>H30086</v>
      </c>
      <c r="B917" t="s">
        <v>913</v>
      </c>
    </row>
    <row r="918" spans="1:2">
      <c r="A918" t="str">
        <f>"H30087"</f>
        <v>H30087</v>
      </c>
      <c r="B918" t="s">
        <v>914</v>
      </c>
    </row>
    <row r="919" spans="1:2">
      <c r="A919" t="str">
        <f>"H30088"</f>
        <v>H30088</v>
      </c>
      <c r="B919" t="s">
        <v>915</v>
      </c>
    </row>
    <row r="920" spans="1:2">
      <c r="A920" t="str">
        <f>"H30089"</f>
        <v>H30089</v>
      </c>
      <c r="B920" t="s">
        <v>916</v>
      </c>
    </row>
    <row r="921" spans="1:2">
      <c r="A921" t="str">
        <f>"H30090"</f>
        <v>H30090</v>
      </c>
      <c r="B921" t="s">
        <v>917</v>
      </c>
    </row>
    <row r="922" spans="1:2">
      <c r="A922" t="str">
        <f>"H30091"</f>
        <v>H30091</v>
      </c>
      <c r="B922" t="s">
        <v>918</v>
      </c>
    </row>
    <row r="923" spans="1:2">
      <c r="A923" t="str">
        <f>"H30092"</f>
        <v>H30092</v>
      </c>
      <c r="B923" t="s">
        <v>919</v>
      </c>
    </row>
    <row r="924" spans="1:2">
      <c r="A924" t="str">
        <f>"H30093"</f>
        <v>H30093</v>
      </c>
      <c r="B924" t="s">
        <v>920</v>
      </c>
    </row>
    <row r="925" spans="1:2">
      <c r="A925" t="str">
        <f>"H30094"</f>
        <v>H30094</v>
      </c>
      <c r="B925" t="s">
        <v>921</v>
      </c>
    </row>
    <row r="926" spans="1:2">
      <c r="A926" t="str">
        <f>"H30095"</f>
        <v>H30095</v>
      </c>
      <c r="B926" t="s">
        <v>922</v>
      </c>
    </row>
    <row r="927" spans="1:2">
      <c r="A927" t="str">
        <f>"H30096"</f>
        <v>H30096</v>
      </c>
      <c r="B927" t="s">
        <v>923</v>
      </c>
    </row>
    <row r="928" spans="1:2">
      <c r="A928" t="str">
        <f>"H30097"</f>
        <v>H30097</v>
      </c>
      <c r="B928" t="s">
        <v>924</v>
      </c>
    </row>
    <row r="929" spans="1:2">
      <c r="A929" t="str">
        <f>"H30098"</f>
        <v>H30098</v>
      </c>
      <c r="B929" t="s">
        <v>925</v>
      </c>
    </row>
    <row r="930" spans="1:2">
      <c r="A930" t="str">
        <f>"H30099"</f>
        <v>H30099</v>
      </c>
      <c r="B930" t="s">
        <v>926</v>
      </c>
    </row>
    <row r="931" spans="1:2">
      <c r="A931" t="str">
        <f>"H30106"</f>
        <v>H30106</v>
      </c>
      <c r="B931" t="s">
        <v>927</v>
      </c>
    </row>
    <row r="932" spans="1:2">
      <c r="A932" t="str">
        <f>"H30124"</f>
        <v>H30124</v>
      </c>
      <c r="B932" t="s">
        <v>928</v>
      </c>
    </row>
    <row r="933" spans="1:2">
      <c r="A933" t="str">
        <f>"H30137"</f>
        <v>H30137</v>
      </c>
      <c r="B933" t="s">
        <v>929</v>
      </c>
    </row>
    <row r="934" spans="1:2">
      <c r="A934" t="str">
        <f>"H30138"</f>
        <v>H30138</v>
      </c>
      <c r="B934" t="s">
        <v>930</v>
      </c>
    </row>
    <row r="935" spans="1:2">
      <c r="A935" t="str">
        <f>"H30139"</f>
        <v>H30139</v>
      </c>
      <c r="B935" t="s">
        <v>931</v>
      </c>
    </row>
    <row r="936" spans="1:2">
      <c r="A936" t="str">
        <f>"H30140"</f>
        <v>H30140</v>
      </c>
      <c r="B936" t="s">
        <v>932</v>
      </c>
    </row>
    <row r="937" spans="1:2">
      <c r="A937" t="str">
        <f>"H30141"</f>
        <v>H30141</v>
      </c>
      <c r="B937" t="s">
        <v>933</v>
      </c>
    </row>
    <row r="938" spans="1:2">
      <c r="A938" t="str">
        <f>"H30142"</f>
        <v>H30142</v>
      </c>
      <c r="B938" t="s">
        <v>934</v>
      </c>
    </row>
    <row r="939" spans="1:2">
      <c r="A939" t="str">
        <f>"H30143"</f>
        <v>H30143</v>
      </c>
      <c r="B939" t="s">
        <v>935</v>
      </c>
    </row>
    <row r="940" spans="1:2">
      <c r="A940" t="str">
        <f>"H30164"</f>
        <v>H30164</v>
      </c>
      <c r="B940" t="s">
        <v>936</v>
      </c>
    </row>
    <row r="941" spans="1:2">
      <c r="A941" t="str">
        <f>"H30166"</f>
        <v>H30166</v>
      </c>
      <c r="B941" t="s">
        <v>937</v>
      </c>
    </row>
    <row r="942" spans="1:2">
      <c r="A942" t="str">
        <f>"H30169"</f>
        <v>H30169</v>
      </c>
      <c r="B942" t="s">
        <v>938</v>
      </c>
    </row>
    <row r="943" spans="1:2">
      <c r="A943" t="str">
        <f>"H30170"</f>
        <v>H30170</v>
      </c>
      <c r="B943" t="s">
        <v>939</v>
      </c>
    </row>
    <row r="944" spans="1:2">
      <c r="A944" t="str">
        <f>"H30171"</f>
        <v>H30171</v>
      </c>
      <c r="B944" t="s">
        <v>940</v>
      </c>
    </row>
    <row r="945" spans="1:2">
      <c r="A945" t="str">
        <f>"H30172"</f>
        <v>H30172</v>
      </c>
      <c r="B945" t="s">
        <v>941</v>
      </c>
    </row>
    <row r="946" spans="1:2">
      <c r="A946" t="str">
        <f>"H30173"</f>
        <v>H30173</v>
      </c>
      <c r="B946" t="s">
        <v>942</v>
      </c>
    </row>
    <row r="947" spans="1:2">
      <c r="A947" t="str">
        <f>"H30174"</f>
        <v>H30174</v>
      </c>
      <c r="B947" t="s">
        <v>943</v>
      </c>
    </row>
    <row r="948" spans="1:2">
      <c r="A948" t="str">
        <f>"H30175"</f>
        <v>H30175</v>
      </c>
      <c r="B948" t="s">
        <v>944</v>
      </c>
    </row>
    <row r="949" spans="1:2">
      <c r="A949" t="str">
        <f>"H30176"</f>
        <v>H30176</v>
      </c>
      <c r="B949" t="s">
        <v>945</v>
      </c>
    </row>
    <row r="950" spans="1:2">
      <c r="A950" t="str">
        <f>"H30177"</f>
        <v>H30177</v>
      </c>
      <c r="B950" t="s">
        <v>946</v>
      </c>
    </row>
    <row r="951" spans="1:2">
      <c r="A951" t="str">
        <f>"H30178"</f>
        <v>H30178</v>
      </c>
      <c r="B951" t="s">
        <v>947</v>
      </c>
    </row>
    <row r="952" spans="1:2">
      <c r="A952" t="str">
        <f>"H30179"</f>
        <v>H30179</v>
      </c>
      <c r="B952" t="s">
        <v>948</v>
      </c>
    </row>
    <row r="953" spans="1:2">
      <c r="A953" t="str">
        <f>"H30182"</f>
        <v>H30182</v>
      </c>
      <c r="B953" t="s">
        <v>949</v>
      </c>
    </row>
    <row r="954" spans="1:2">
      <c r="A954" t="str">
        <f>"H30183"</f>
        <v>H30183</v>
      </c>
      <c r="B954" t="s">
        <v>950</v>
      </c>
    </row>
    <row r="955" spans="1:2">
      <c r="A955" t="str">
        <f>"H30184"</f>
        <v>H30184</v>
      </c>
      <c r="B955" t="s">
        <v>951</v>
      </c>
    </row>
    <row r="956" spans="1:2">
      <c r="A956" t="str">
        <f>"H30186"</f>
        <v>H30186</v>
      </c>
      <c r="B956" t="s">
        <v>952</v>
      </c>
    </row>
    <row r="957" spans="1:2">
      <c r="A957" t="str">
        <f>"H30187"</f>
        <v>H30187</v>
      </c>
      <c r="B957" t="s">
        <v>953</v>
      </c>
    </row>
    <row r="958" spans="1:2">
      <c r="A958" t="str">
        <f>"H30188"</f>
        <v>H30188</v>
      </c>
      <c r="B958" t="s">
        <v>954</v>
      </c>
    </row>
    <row r="959" spans="1:2">
      <c r="A959" t="str">
        <f>"H30190"</f>
        <v>H30190</v>
      </c>
      <c r="B959" t="s">
        <v>955</v>
      </c>
    </row>
    <row r="960" spans="1:2">
      <c r="A960" t="str">
        <f>"H30192"</f>
        <v>H30192</v>
      </c>
      <c r="B960" t="s">
        <v>956</v>
      </c>
    </row>
    <row r="961" spans="1:2">
      <c r="A961" t="str">
        <f>"H30193"</f>
        <v>H30193</v>
      </c>
      <c r="B961" t="s">
        <v>957</v>
      </c>
    </row>
    <row r="962" spans="1:2">
      <c r="A962" t="str">
        <f>"H30194"</f>
        <v>H30194</v>
      </c>
      <c r="B962" t="s">
        <v>958</v>
      </c>
    </row>
    <row r="963" spans="1:2">
      <c r="A963" t="str">
        <f>"H30195"</f>
        <v>H30195</v>
      </c>
      <c r="B963" t="s">
        <v>959</v>
      </c>
    </row>
    <row r="964" spans="1:2">
      <c r="A964" t="str">
        <f>"H30196"</f>
        <v>H30196</v>
      </c>
      <c r="B964" t="s">
        <v>960</v>
      </c>
    </row>
    <row r="965" spans="1:2">
      <c r="A965" t="str">
        <f>"H30197"</f>
        <v>H30197</v>
      </c>
      <c r="B965" t="s">
        <v>961</v>
      </c>
    </row>
    <row r="966" spans="1:2">
      <c r="A966" t="str">
        <f>"H30198"</f>
        <v>H30198</v>
      </c>
      <c r="B966" t="s">
        <v>962</v>
      </c>
    </row>
    <row r="967" spans="1:2">
      <c r="A967" t="str">
        <f>"H30199"</f>
        <v>H30199</v>
      </c>
      <c r="B967" t="s">
        <v>963</v>
      </c>
    </row>
    <row r="968" spans="1:2">
      <c r="A968" t="str">
        <f>"H30200"</f>
        <v>H30200</v>
      </c>
      <c r="B968" t="s">
        <v>964</v>
      </c>
    </row>
    <row r="969" spans="1:2">
      <c r="A969" t="str">
        <f>"H30201"</f>
        <v>H30201</v>
      </c>
      <c r="B969" t="s">
        <v>965</v>
      </c>
    </row>
    <row r="970" spans="1:2">
      <c r="A970" t="str">
        <f>"H30202"</f>
        <v>H30202</v>
      </c>
      <c r="B970" t="s">
        <v>966</v>
      </c>
    </row>
    <row r="971" spans="1:2">
      <c r="A971" t="str">
        <f>"H30203"</f>
        <v>H30203</v>
      </c>
      <c r="B971" t="s">
        <v>967</v>
      </c>
    </row>
    <row r="972" spans="1:2">
      <c r="A972" t="str">
        <f>"H30204"</f>
        <v>H30204</v>
      </c>
      <c r="B972" t="s">
        <v>968</v>
      </c>
    </row>
    <row r="973" spans="1:2">
      <c r="A973" t="str">
        <f>"H30205"</f>
        <v>H30205</v>
      </c>
      <c r="B973" t="s">
        <v>969</v>
      </c>
    </row>
    <row r="974" spans="1:2">
      <c r="A974" t="str">
        <f>"H30206"</f>
        <v>H30206</v>
      </c>
      <c r="B974" t="s">
        <v>970</v>
      </c>
    </row>
    <row r="975" spans="1:2">
      <c r="A975" t="str">
        <f>"H30207"</f>
        <v>H30207</v>
      </c>
      <c r="B975" t="s">
        <v>971</v>
      </c>
    </row>
    <row r="976" spans="1:2">
      <c r="A976" t="str">
        <f>"H30208"</f>
        <v>H30208</v>
      </c>
      <c r="B976" t="s">
        <v>972</v>
      </c>
    </row>
    <row r="977" spans="1:2">
      <c r="A977" t="str">
        <f>"H30209"</f>
        <v>H30209</v>
      </c>
      <c r="B977" t="s">
        <v>973</v>
      </c>
    </row>
    <row r="978" spans="1:2">
      <c r="A978" t="str">
        <f>"H30211"</f>
        <v>H30211</v>
      </c>
      <c r="B978" t="s">
        <v>974</v>
      </c>
    </row>
    <row r="979" spans="1:2">
      <c r="A979" t="str">
        <f>"H30213"</f>
        <v>H30213</v>
      </c>
      <c r="B979" t="s">
        <v>975</v>
      </c>
    </row>
    <row r="980" spans="1:2">
      <c r="A980" t="str">
        <f>"H30214"</f>
        <v>H30214</v>
      </c>
      <c r="B980" t="s">
        <v>976</v>
      </c>
    </row>
    <row r="981" spans="1:2">
      <c r="A981" t="str">
        <f>"H30215"</f>
        <v>H30215</v>
      </c>
      <c r="B981" t="s">
        <v>977</v>
      </c>
    </row>
    <row r="982" spans="1:2">
      <c r="A982" t="str">
        <f>"H30216"</f>
        <v>H30216</v>
      </c>
      <c r="B982" t="s">
        <v>978</v>
      </c>
    </row>
    <row r="983" spans="1:2">
      <c r="A983" t="str">
        <f>"H30217"</f>
        <v>H30217</v>
      </c>
      <c r="B983" t="s">
        <v>979</v>
      </c>
    </row>
    <row r="984" spans="1:2">
      <c r="A984" t="str">
        <f>"H30218"</f>
        <v>H30218</v>
      </c>
      <c r="B984" t="s">
        <v>980</v>
      </c>
    </row>
    <row r="985" spans="1:2">
      <c r="A985" t="str">
        <f>"H30219"</f>
        <v>H30219</v>
      </c>
      <c r="B985" t="s">
        <v>981</v>
      </c>
    </row>
    <row r="986" spans="1:2">
      <c r="A986" t="str">
        <f>"H30220"</f>
        <v>H30220</v>
      </c>
      <c r="B986" t="s">
        <v>982</v>
      </c>
    </row>
    <row r="987" spans="1:2">
      <c r="A987" t="str">
        <f>"H30221"</f>
        <v>H30221</v>
      </c>
      <c r="B987" t="s">
        <v>983</v>
      </c>
    </row>
    <row r="988" spans="1:2">
      <c r="A988" t="str">
        <f>"H30222"</f>
        <v>H30222</v>
      </c>
      <c r="B988" t="s">
        <v>984</v>
      </c>
    </row>
    <row r="989" spans="1:2">
      <c r="A989" t="str">
        <f>"H30223"</f>
        <v>H30223</v>
      </c>
      <c r="B989" t="s">
        <v>985</v>
      </c>
    </row>
    <row r="990" spans="1:2">
      <c r="A990" t="str">
        <f>"H30250"</f>
        <v>H30250</v>
      </c>
      <c r="B990" t="s">
        <v>986</v>
      </c>
    </row>
    <row r="991" spans="1:2">
      <c r="A991" t="str">
        <f>"H30251"</f>
        <v>H30251</v>
      </c>
      <c r="B991" t="s">
        <v>987</v>
      </c>
    </row>
    <row r="992" spans="1:2">
      <c r="A992" t="str">
        <f>"H30252"</f>
        <v>H30252</v>
      </c>
      <c r="B992" t="s">
        <v>988</v>
      </c>
    </row>
    <row r="993" spans="1:2">
      <c r="A993" t="str">
        <f>"H30253"</f>
        <v>H30253</v>
      </c>
      <c r="B993" t="s">
        <v>989</v>
      </c>
    </row>
    <row r="994" spans="1:2">
      <c r="A994" t="str">
        <f>"H30254"</f>
        <v>H30254</v>
      </c>
      <c r="B994" t="s">
        <v>990</v>
      </c>
    </row>
    <row r="995" spans="1:2">
      <c r="A995" t="str">
        <f>"H30255"</f>
        <v>H30255</v>
      </c>
      <c r="B995" t="s">
        <v>991</v>
      </c>
    </row>
    <row r="996" spans="1:2">
      <c r="A996" t="str">
        <f>"H30256"</f>
        <v>H30256</v>
      </c>
      <c r="B996" t="s">
        <v>992</v>
      </c>
    </row>
    <row r="997" spans="1:2">
      <c r="A997" t="str">
        <f>"H30257"</f>
        <v>H30257</v>
      </c>
      <c r="B997" t="s">
        <v>993</v>
      </c>
    </row>
    <row r="998" spans="1:2">
      <c r="A998" t="str">
        <f>"H30258"</f>
        <v>H30258</v>
      </c>
      <c r="B998" t="s">
        <v>994</v>
      </c>
    </row>
    <row r="999" spans="1:2">
      <c r="A999" t="str">
        <f>"H30259"</f>
        <v>H30259</v>
      </c>
      <c r="B999" t="s">
        <v>995</v>
      </c>
    </row>
    <row r="1000" spans="1:2">
      <c r="A1000" t="str">
        <f>"H30260"</f>
        <v>H30260</v>
      </c>
      <c r="B1000" t="s">
        <v>996</v>
      </c>
    </row>
    <row r="1001" spans="1:2">
      <c r="A1001" t="str">
        <f>"H30261"</f>
        <v>H30261</v>
      </c>
      <c r="B1001" t="s">
        <v>997</v>
      </c>
    </row>
    <row r="1002" spans="1:2">
      <c r="A1002" t="str">
        <f>"H30263"</f>
        <v>H30263</v>
      </c>
      <c r="B1002" t="s">
        <v>998</v>
      </c>
    </row>
    <row r="1003" spans="1:2">
      <c r="A1003" t="str">
        <f>"H30269"</f>
        <v>H30269</v>
      </c>
      <c r="B1003" t="s">
        <v>999</v>
      </c>
    </row>
    <row r="1004" spans="1:2">
      <c r="A1004" t="str">
        <f>"H30270"</f>
        <v>H30270</v>
      </c>
      <c r="B1004" t="s">
        <v>1000</v>
      </c>
    </row>
    <row r="1005" spans="1:2">
      <c r="A1005" t="str">
        <f>"H30271"</f>
        <v>H30271</v>
      </c>
      <c r="B1005" t="s">
        <v>1001</v>
      </c>
    </row>
    <row r="1006" spans="1:2">
      <c r="A1006" t="str">
        <f>"H30272"</f>
        <v>H30272</v>
      </c>
      <c r="B1006" t="s">
        <v>1002</v>
      </c>
    </row>
    <row r="1007" spans="1:2">
      <c r="A1007" t="str">
        <f>"H30273"</f>
        <v>H30273</v>
      </c>
      <c r="B1007" t="s">
        <v>1003</v>
      </c>
    </row>
    <row r="1008" spans="1:2">
      <c r="A1008" t="str">
        <f>"H30274"</f>
        <v>H30274</v>
      </c>
      <c r="B1008" t="s">
        <v>1004</v>
      </c>
    </row>
    <row r="1009" spans="1:2">
      <c r="A1009" t="str">
        <f>"H30318"</f>
        <v>H30318</v>
      </c>
      <c r="B1009" t="s">
        <v>1005</v>
      </c>
    </row>
    <row r="1010" spans="1:2">
      <c r="A1010" t="str">
        <f>"H30332"</f>
        <v>H30332</v>
      </c>
      <c r="B1010" t="s">
        <v>1006</v>
      </c>
    </row>
    <row r="1011" spans="1:2">
      <c r="A1011" t="str">
        <f>"H30344"</f>
        <v>H30344</v>
      </c>
      <c r="B1011" t="s">
        <v>1007</v>
      </c>
    </row>
    <row r="1012" spans="1:2">
      <c r="A1012" t="str">
        <f>"H30351"</f>
        <v>H30351</v>
      </c>
      <c r="B1012" t="s">
        <v>1008</v>
      </c>
    </row>
    <row r="1013" spans="1:2">
      <c r="A1013" t="str">
        <f>"H30352"</f>
        <v>H30352</v>
      </c>
      <c r="B1013" t="s">
        <v>1009</v>
      </c>
    </row>
    <row r="1014" spans="1:2">
      <c r="A1014" t="str">
        <f>"H30353"</f>
        <v>H30353</v>
      </c>
      <c r="B1014" t="s">
        <v>1010</v>
      </c>
    </row>
    <row r="1015" spans="1:2">
      <c r="A1015" t="str">
        <f>"H30354"</f>
        <v>H30354</v>
      </c>
      <c r="B1015" t="s">
        <v>1011</v>
      </c>
    </row>
    <row r="1016" spans="1:2">
      <c r="A1016" t="str">
        <f>"H30355"</f>
        <v>H30355</v>
      </c>
      <c r="B1016" t="s">
        <v>1012</v>
      </c>
    </row>
    <row r="1017" spans="1:2">
      <c r="A1017" t="str">
        <f>"H30356"</f>
        <v>H30356</v>
      </c>
      <c r="B1017" t="s">
        <v>1013</v>
      </c>
    </row>
    <row r="1018" spans="1:2">
      <c r="A1018" t="str">
        <f>"H30357"</f>
        <v>H30357</v>
      </c>
      <c r="B1018" t="s">
        <v>1014</v>
      </c>
    </row>
    <row r="1019" spans="1:2">
      <c r="A1019" t="str">
        <f>"H30358"</f>
        <v>H30358</v>
      </c>
      <c r="B1019" t="s">
        <v>1015</v>
      </c>
    </row>
    <row r="1020" spans="1:2">
      <c r="A1020" t="str">
        <f>"H30359"</f>
        <v>H30359</v>
      </c>
      <c r="B1020" t="s">
        <v>1016</v>
      </c>
    </row>
    <row r="1021" spans="1:2">
      <c r="A1021" t="str">
        <f>"H30362"</f>
        <v>H30362</v>
      </c>
      <c r="B1021" t="s">
        <v>1017</v>
      </c>
    </row>
    <row r="1022" spans="1:2">
      <c r="A1022" t="str">
        <f>"H30363"</f>
        <v>H30363</v>
      </c>
      <c r="B1022" t="s">
        <v>1018</v>
      </c>
    </row>
    <row r="1023" spans="1:2">
      <c r="A1023" t="str">
        <f>"H30365"</f>
        <v>H30365</v>
      </c>
      <c r="B1023" t="s">
        <v>1019</v>
      </c>
    </row>
    <row r="1024" spans="1:2">
      <c r="A1024" t="str">
        <f>"H30366"</f>
        <v>H30366</v>
      </c>
      <c r="B1024" t="s">
        <v>1020</v>
      </c>
    </row>
    <row r="1025" spans="1:2">
      <c r="A1025" t="str">
        <f>"H30368"</f>
        <v>H30368</v>
      </c>
      <c r="B1025" t="s">
        <v>1021</v>
      </c>
    </row>
    <row r="1026" spans="1:2">
      <c r="A1026" t="str">
        <f>"H30372"</f>
        <v>H30372</v>
      </c>
      <c r="B1026" t="s">
        <v>1022</v>
      </c>
    </row>
    <row r="1027" spans="1:2">
      <c r="A1027" t="str">
        <f>"H30373"</f>
        <v>H30373</v>
      </c>
      <c r="B1027" t="s">
        <v>1023</v>
      </c>
    </row>
    <row r="1028" spans="1:2">
      <c r="A1028" t="str">
        <f>"H30403"</f>
        <v>H30403</v>
      </c>
      <c r="B1028" t="s">
        <v>1024</v>
      </c>
    </row>
    <row r="1029" spans="1:2">
      <c r="A1029" t="str">
        <f>"H30404"</f>
        <v>H30404</v>
      </c>
      <c r="B1029" t="s">
        <v>1025</v>
      </c>
    </row>
    <row r="1030" spans="1:2">
      <c r="A1030" t="str">
        <f>"H30439"</f>
        <v>H30439</v>
      </c>
      <c r="B1030" t="s">
        <v>1026</v>
      </c>
    </row>
    <row r="1031" spans="1:2">
      <c r="A1031" t="str">
        <f>"H30440"</f>
        <v>H30440</v>
      </c>
      <c r="B1031" t="s">
        <v>1027</v>
      </c>
    </row>
    <row r="1032" spans="1:2">
      <c r="A1032" t="str">
        <f>"H30441"</f>
        <v>H30441</v>
      </c>
      <c r="B1032" t="s">
        <v>1028</v>
      </c>
    </row>
    <row r="1033" spans="1:2">
      <c r="A1033" t="str">
        <f>"H30442"</f>
        <v>H30442</v>
      </c>
      <c r="B1033" t="s">
        <v>1029</v>
      </c>
    </row>
    <row r="1034" spans="1:2">
      <c r="A1034" t="str">
        <f>"H30443"</f>
        <v>H30443</v>
      </c>
      <c r="B1034" t="s">
        <v>1030</v>
      </c>
    </row>
    <row r="1035" spans="1:2">
      <c r="A1035" t="str">
        <f>"H30444"</f>
        <v>H30444</v>
      </c>
      <c r="B1035" t="s">
        <v>1031</v>
      </c>
    </row>
    <row r="1036" spans="1:2">
      <c r="A1036" t="str">
        <f>"H30445"</f>
        <v>H30445</v>
      </c>
      <c r="B1036" t="s">
        <v>1032</v>
      </c>
    </row>
    <row r="1037" spans="1:2">
      <c r="A1037" t="str">
        <f>"H30446"</f>
        <v>H30446</v>
      </c>
      <c r="B1037" t="s">
        <v>1033</v>
      </c>
    </row>
    <row r="1038" spans="1:2">
      <c r="A1038" t="str">
        <f>"H30447"</f>
        <v>H30447</v>
      </c>
      <c r="B1038" t="s">
        <v>1034</v>
      </c>
    </row>
    <row r="1039" spans="1:2">
      <c r="A1039" t="str">
        <f>"H30448"</f>
        <v>H30448</v>
      </c>
      <c r="B1039" t="s">
        <v>1035</v>
      </c>
    </row>
    <row r="1040" spans="1:2">
      <c r="A1040" t="str">
        <f>"H30455"</f>
        <v>H30455</v>
      </c>
      <c r="B1040" t="s">
        <v>1036</v>
      </c>
    </row>
    <row r="1041" spans="1:2">
      <c r="A1041" t="str">
        <f>"H30463"</f>
        <v>H30463</v>
      </c>
      <c r="B1041" t="s">
        <v>1037</v>
      </c>
    </row>
    <row r="1042" spans="1:2">
      <c r="A1042" t="str">
        <f>"H30524"</f>
        <v>H30524</v>
      </c>
      <c r="B1042" t="s">
        <v>1038</v>
      </c>
    </row>
    <row r="1043" spans="1:2">
      <c r="A1043" t="str">
        <f>"H30525"</f>
        <v>H30525</v>
      </c>
      <c r="B1043" t="s">
        <v>1039</v>
      </c>
    </row>
    <row r="1044" spans="1:2">
      <c r="A1044" t="str">
        <f>"H30526"</f>
        <v>H30526</v>
      </c>
      <c r="B1044" t="s">
        <v>1040</v>
      </c>
    </row>
    <row r="1045" spans="1:2">
      <c r="A1045" t="str">
        <f>"H30531"</f>
        <v>H30531</v>
      </c>
      <c r="B1045" t="s">
        <v>1041</v>
      </c>
    </row>
    <row r="1046" spans="1:2">
      <c r="A1046" t="str">
        <f>"H30532"</f>
        <v>H30532</v>
      </c>
      <c r="B1046" t="s">
        <v>1042</v>
      </c>
    </row>
    <row r="1047" spans="1:2">
      <c r="A1047" t="str">
        <f>"H30533"</f>
        <v>H30533</v>
      </c>
      <c r="B1047" t="s">
        <v>1043</v>
      </c>
    </row>
    <row r="1048" spans="1:2">
      <c r="A1048" t="str">
        <f>"H30535"</f>
        <v>H30535</v>
      </c>
      <c r="B1048" t="s">
        <v>1044</v>
      </c>
    </row>
    <row r="1049" spans="1:2">
      <c r="A1049" t="str">
        <f>"H30537"</f>
        <v>H30537</v>
      </c>
      <c r="B1049" t="s">
        <v>1045</v>
      </c>
    </row>
    <row r="1050" spans="1:2">
      <c r="A1050" t="str">
        <f>"H30552"</f>
        <v>H30552</v>
      </c>
      <c r="B1050" t="s">
        <v>1046</v>
      </c>
    </row>
    <row r="1051" spans="1:2">
      <c r="A1051" t="str">
        <f>"H30588"</f>
        <v>H30588</v>
      </c>
      <c r="B1051" t="s">
        <v>1047</v>
      </c>
    </row>
    <row r="1052" spans="1:2">
      <c r="A1052" t="str">
        <f>"H30590"</f>
        <v>H30590</v>
      </c>
      <c r="B1052" t="s">
        <v>1048</v>
      </c>
    </row>
    <row r="1053" spans="1:2">
      <c r="A1053" t="str">
        <f>"H30597"</f>
        <v>H30597</v>
      </c>
      <c r="B1053" t="s">
        <v>1049</v>
      </c>
    </row>
    <row r="1054" spans="1:2">
      <c r="A1054" t="str">
        <f>"H50001"</f>
        <v>H50001</v>
      </c>
      <c r="B1054" t="s">
        <v>1050</v>
      </c>
    </row>
    <row r="1055" spans="1:2">
      <c r="A1055" t="str">
        <f>"H50002"</f>
        <v>H50002</v>
      </c>
      <c r="B1055" t="s">
        <v>1051</v>
      </c>
    </row>
    <row r="1056" spans="1:2">
      <c r="A1056" t="str">
        <f>"H50003"</f>
        <v>H50003</v>
      </c>
      <c r="B1056" t="s">
        <v>1052</v>
      </c>
    </row>
    <row r="1057" spans="1:2">
      <c r="A1057" t="str">
        <f>"H50004"</f>
        <v>H50004</v>
      </c>
      <c r="B1057" t="s">
        <v>1053</v>
      </c>
    </row>
    <row r="1058" spans="1:2">
      <c r="A1058" t="str">
        <f>"H50005"</f>
        <v>H50005</v>
      </c>
      <c r="B1058" t="s">
        <v>1054</v>
      </c>
    </row>
    <row r="1059" spans="1:2">
      <c r="A1059" t="str">
        <f>"H50006"</f>
        <v>H50006</v>
      </c>
      <c r="B1059" t="s">
        <v>1055</v>
      </c>
    </row>
    <row r="1060" spans="1:2">
      <c r="A1060" t="str">
        <f>"H50007"</f>
        <v>H50007</v>
      </c>
      <c r="B1060" t="s">
        <v>1056</v>
      </c>
    </row>
    <row r="1061" spans="1:2">
      <c r="A1061" t="str">
        <f>"H50008"</f>
        <v>H50008</v>
      </c>
      <c r="B1061" t="s">
        <v>1057</v>
      </c>
    </row>
    <row r="1062" spans="1:2">
      <c r="A1062" t="str">
        <f>"H50009"</f>
        <v>H50009</v>
      </c>
      <c r="B1062" t="s">
        <v>1058</v>
      </c>
    </row>
    <row r="1063" spans="1:2">
      <c r="A1063" t="str">
        <f>"H50010"</f>
        <v>H50010</v>
      </c>
      <c r="B1063" t="s">
        <v>1059</v>
      </c>
    </row>
    <row r="1064" spans="1:2">
      <c r="A1064" t="str">
        <f>"H50011"</f>
        <v>H50011</v>
      </c>
      <c r="B1064" t="s">
        <v>1060</v>
      </c>
    </row>
    <row r="1065" spans="1:2">
      <c r="A1065" t="str">
        <f>"H50012"</f>
        <v>H50012</v>
      </c>
      <c r="B1065" t="s">
        <v>1061</v>
      </c>
    </row>
    <row r="1066" spans="1:2">
      <c r="A1066" t="str">
        <f>"H50013"</f>
        <v>H50013</v>
      </c>
      <c r="B1066" t="s">
        <v>1062</v>
      </c>
    </row>
    <row r="1067" spans="1:2">
      <c r="A1067" t="str">
        <f>"H50014"</f>
        <v>H50014</v>
      </c>
      <c r="B1067" t="s">
        <v>1063</v>
      </c>
    </row>
    <row r="1068" spans="1:2">
      <c r="A1068" t="str">
        <f>"H50015"</f>
        <v>H50015</v>
      </c>
      <c r="B1068" t="s">
        <v>1064</v>
      </c>
    </row>
    <row r="1069" spans="1:2">
      <c r="A1069" t="str">
        <f>"H50016"</f>
        <v>H50016</v>
      </c>
      <c r="B1069" t="s">
        <v>1065</v>
      </c>
    </row>
    <row r="1070" spans="1:2">
      <c r="A1070" t="str">
        <f>"H50017"</f>
        <v>H50017</v>
      </c>
      <c r="B1070" t="s">
        <v>1066</v>
      </c>
    </row>
    <row r="1071" spans="1:2">
      <c r="A1071" t="str">
        <f>"H50018"</f>
        <v>H50018</v>
      </c>
      <c r="B1071" t="s">
        <v>1067</v>
      </c>
    </row>
    <row r="1072" spans="1:2">
      <c r="A1072" t="str">
        <f>"H50019"</f>
        <v>H50019</v>
      </c>
      <c r="B1072" t="s">
        <v>1068</v>
      </c>
    </row>
    <row r="1073" spans="1:2">
      <c r="A1073" t="str">
        <f>"H50020"</f>
        <v>H50020</v>
      </c>
      <c r="B1073" t="s">
        <v>1069</v>
      </c>
    </row>
    <row r="1074" spans="1:2">
      <c r="A1074" t="str">
        <f>"H50021"</f>
        <v>H50021</v>
      </c>
      <c r="B1074" t="s">
        <v>1070</v>
      </c>
    </row>
    <row r="1075" spans="1:2">
      <c r="A1075" t="str">
        <f>"H50022"</f>
        <v>H50022</v>
      </c>
      <c r="B1075" t="s">
        <v>1071</v>
      </c>
    </row>
    <row r="1076" spans="1:2">
      <c r="A1076" t="str">
        <f>"H50023"</f>
        <v>H50023</v>
      </c>
      <c r="B1076" t="s">
        <v>1072</v>
      </c>
    </row>
    <row r="1077" spans="1:2">
      <c r="A1077" t="str">
        <f>"H50024"</f>
        <v>H50024</v>
      </c>
      <c r="B1077" t="s">
        <v>1073</v>
      </c>
    </row>
    <row r="1078" spans="1:2">
      <c r="A1078" t="str">
        <f>"H50025"</f>
        <v>H50025</v>
      </c>
      <c r="B1078" t="s">
        <v>1074</v>
      </c>
    </row>
    <row r="1079" spans="1:2">
      <c r="A1079" t="str">
        <f>"H50026"</f>
        <v>H50026</v>
      </c>
      <c r="B1079" t="s">
        <v>1075</v>
      </c>
    </row>
    <row r="1080" spans="1:2">
      <c r="A1080" t="str">
        <f>"H50027"</f>
        <v>H50027</v>
      </c>
      <c r="B1080" t="s">
        <v>1076</v>
      </c>
    </row>
    <row r="1081" spans="1:2">
      <c r="A1081" t="str">
        <f>"H50028"</f>
        <v>H50028</v>
      </c>
      <c r="B1081" t="s">
        <v>1077</v>
      </c>
    </row>
    <row r="1082" spans="1:2">
      <c r="A1082" t="str">
        <f>"H50029"</f>
        <v>H50029</v>
      </c>
      <c r="B1082" t="s">
        <v>1078</v>
      </c>
    </row>
    <row r="1083" spans="1:2">
      <c r="A1083" t="str">
        <f>"H50030"</f>
        <v>H50030</v>
      </c>
      <c r="B1083" t="s">
        <v>1079</v>
      </c>
    </row>
    <row r="1084" spans="1:2">
      <c r="A1084" t="str">
        <f>"H50031"</f>
        <v>H50031</v>
      </c>
      <c r="B1084" t="s">
        <v>1080</v>
      </c>
    </row>
    <row r="1085" spans="1:2">
      <c r="A1085" t="str">
        <f>"H50032"</f>
        <v>H50032</v>
      </c>
      <c r="B1085" t="s">
        <v>1081</v>
      </c>
    </row>
    <row r="1086" spans="1:2">
      <c r="A1086" t="str">
        <f>"H50033"</f>
        <v>H50033</v>
      </c>
      <c r="B1086" t="s">
        <v>1082</v>
      </c>
    </row>
    <row r="1087" spans="1:2">
      <c r="A1087" t="str">
        <f>"H50034"</f>
        <v>H50034</v>
      </c>
      <c r="B1087" t="s">
        <v>1083</v>
      </c>
    </row>
    <row r="1088" spans="1:2">
      <c r="A1088" t="str">
        <f>"H50035"</f>
        <v>H50035</v>
      </c>
      <c r="B1088" t="s">
        <v>1084</v>
      </c>
    </row>
    <row r="1089" spans="1:2">
      <c r="A1089" t="str">
        <f>"H50036"</f>
        <v>H50036</v>
      </c>
      <c r="B1089" t="s">
        <v>1085</v>
      </c>
    </row>
    <row r="1090" spans="1:2">
      <c r="A1090" t="str">
        <f>"H50037"</f>
        <v>H50037</v>
      </c>
      <c r="B1090" t="s">
        <v>1086</v>
      </c>
    </row>
    <row r="1091" spans="1:2">
      <c r="A1091" t="str">
        <f>"H50038"</f>
        <v>H50038</v>
      </c>
      <c r="B1091" t="s">
        <v>1087</v>
      </c>
    </row>
    <row r="1092" spans="1:2">
      <c r="A1092" t="str">
        <f>"H50039"</f>
        <v>H50039</v>
      </c>
      <c r="B1092" t="s">
        <v>1088</v>
      </c>
    </row>
    <row r="1093" spans="1:2">
      <c r="A1093" t="str">
        <f>"H50040"</f>
        <v>H50040</v>
      </c>
      <c r="B1093" t="s">
        <v>1089</v>
      </c>
    </row>
    <row r="1094" spans="1:2">
      <c r="A1094" t="str">
        <f>"H50042"</f>
        <v>H50042</v>
      </c>
      <c r="B1094" t="s">
        <v>1090</v>
      </c>
    </row>
    <row r="1095" spans="1:2">
      <c r="A1095" t="str">
        <f>"H50043"</f>
        <v>H50043</v>
      </c>
      <c r="B1095" t="s">
        <v>1091</v>
      </c>
    </row>
    <row r="1096" spans="1:2">
      <c r="A1096" t="str">
        <f>"H50044"</f>
        <v>H50044</v>
      </c>
      <c r="B1096" t="s">
        <v>1092</v>
      </c>
    </row>
    <row r="1097" spans="1:2">
      <c r="A1097" t="str">
        <f>"H50045"</f>
        <v>H50045</v>
      </c>
      <c r="B1097" t="s">
        <v>1093</v>
      </c>
    </row>
    <row r="1098" spans="1:2">
      <c r="A1098" t="str">
        <f>"H50046"</f>
        <v>H50046</v>
      </c>
      <c r="B1098" t="s">
        <v>1094</v>
      </c>
    </row>
    <row r="1099" spans="1:2">
      <c r="A1099" t="str">
        <f>"H50047"</f>
        <v>H50047</v>
      </c>
      <c r="B1099" t="s">
        <v>1095</v>
      </c>
    </row>
    <row r="1100" spans="1:2">
      <c r="A1100" t="str">
        <f>"H50052"</f>
        <v>H50052</v>
      </c>
      <c r="B1100" t="s">
        <v>1096</v>
      </c>
    </row>
    <row r="1101" spans="1:2">
      <c r="A1101" t="str">
        <f>"H50053"</f>
        <v>H50053</v>
      </c>
      <c r="B1101" t="s">
        <v>1097</v>
      </c>
    </row>
    <row r="1102" spans="1:2">
      <c r="A1102" t="str">
        <f>"H50054"</f>
        <v>H50054</v>
      </c>
      <c r="B1102" t="s">
        <v>1098</v>
      </c>
    </row>
    <row r="1103" spans="1:2">
      <c r="A1103" t="str">
        <f>"H50055"</f>
        <v>H50055</v>
      </c>
      <c r="B1103" t="s">
        <v>1099</v>
      </c>
    </row>
    <row r="1104" spans="1:2">
      <c r="A1104" t="str">
        <f>"H50056"</f>
        <v>H50056</v>
      </c>
      <c r="B1104" t="s">
        <v>1100</v>
      </c>
    </row>
    <row r="1105" spans="1:2">
      <c r="A1105" t="str">
        <f>"H50057"</f>
        <v>H50057</v>
      </c>
      <c r="B1105" t="s">
        <v>1101</v>
      </c>
    </row>
    <row r="1106" spans="1:2">
      <c r="A1106" t="str">
        <f>"H50058"</f>
        <v>H50058</v>
      </c>
      <c r="B1106" t="s">
        <v>1102</v>
      </c>
    </row>
    <row r="1107" spans="1:2">
      <c r="A1107" t="str">
        <f>"H50067"</f>
        <v>H50067</v>
      </c>
      <c r="B1107" t="s">
        <v>1103</v>
      </c>
    </row>
    <row r="1108" spans="1:2">
      <c r="A1108" t="str">
        <f>"H50068"</f>
        <v>H50068</v>
      </c>
      <c r="B1108" t="s">
        <v>1104</v>
      </c>
    </row>
    <row r="1109" spans="1:2">
      <c r="A1109" t="str">
        <f>"H50069"</f>
        <v>H50069</v>
      </c>
      <c r="B1109" t="s">
        <v>1105</v>
      </c>
    </row>
    <row r="1110" spans="1:2">
      <c r="A1110" t="str">
        <f>"N00300"</f>
        <v>N00300</v>
      </c>
      <c r="B1110" t="s">
        <v>1106</v>
      </c>
    </row>
    <row r="1111" spans="1:2">
      <c r="A1111" t="str">
        <f>"N00688"</f>
        <v>N00688</v>
      </c>
      <c r="B1111" t="s">
        <v>1107</v>
      </c>
    </row>
    <row r="1112" spans="1:2">
      <c r="A1112" t="str">
        <f>"N00905"</f>
        <v>N00905</v>
      </c>
      <c r="B1112" t="s">
        <v>1108</v>
      </c>
    </row>
    <row r="1113" spans="1:2">
      <c r="A1113" t="str">
        <f>"SHHKSI"</f>
        <v>SHHKSI</v>
      </c>
      <c r="B1113" t="s">
        <v>1109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中证指数20230612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</cp:lastModifiedBy>
  <dcterms:created xsi:type="dcterms:W3CDTF">2023-06-14T13:11:00Z</dcterms:created>
  <dcterms:modified xsi:type="dcterms:W3CDTF">2023-06-14T13:56:48Z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931099437EBB4FB38CA1A750330EFFA3_13</vt:lpwstr>
  </property>
  <property fmtid="{D5CDD505-2E9C-101B-9397-08002B2CF9AE}" pid="3" name="KSOProductBuildVer">
    <vt:lpwstr>2052-11.1.0.14309</vt:lpwstr>
  </property>
</Properties>
</file>