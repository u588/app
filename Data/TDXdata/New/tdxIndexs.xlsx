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板块指数20230612" sheetId="1" r:id="rId1"/>
  </sheets>
  <calcPr calcId="144525"/>
</workbook>
</file>

<file path=xl/sharedStrings.xml><?xml version="1.0" encoding="utf-8"?>
<sst xmlns="http://schemas.openxmlformats.org/spreadsheetml/2006/main" count="445" uniqueCount="445">
  <si>
    <t>IndexCode</t>
  </si>
  <si>
    <t>IndexName</t>
  </si>
  <si>
    <t>黑龙江</t>
  </si>
  <si>
    <t>新疆板块</t>
  </si>
  <si>
    <t>吉林板块</t>
  </si>
  <si>
    <t>甘肃板块</t>
  </si>
  <si>
    <t>辽宁板块</t>
  </si>
  <si>
    <t>青海板块</t>
  </si>
  <si>
    <t>北京板块</t>
  </si>
  <si>
    <t>陕西板块</t>
  </si>
  <si>
    <t>天津板块</t>
  </si>
  <si>
    <t>广西板块</t>
  </si>
  <si>
    <t>河北板块</t>
  </si>
  <si>
    <t>广东板块</t>
  </si>
  <si>
    <t>河南板块</t>
  </si>
  <si>
    <t>宁夏板块</t>
  </si>
  <si>
    <t>山东板块</t>
  </si>
  <si>
    <t>上海板块</t>
  </si>
  <si>
    <t>山西板块</t>
  </si>
  <si>
    <t>深圳板块</t>
  </si>
  <si>
    <t>湖北板块</t>
  </si>
  <si>
    <t>福建板块</t>
  </si>
  <si>
    <t>湖南板块</t>
  </si>
  <si>
    <t>江西板块</t>
  </si>
  <si>
    <t>四川板块</t>
  </si>
  <si>
    <t>安徽板块</t>
  </si>
  <si>
    <t>重庆板块</t>
  </si>
  <si>
    <t>江苏板块</t>
  </si>
  <si>
    <t>云南板块</t>
  </si>
  <si>
    <t>浙江板块</t>
  </si>
  <si>
    <t>贵州板块</t>
  </si>
  <si>
    <t>海南板块</t>
  </si>
  <si>
    <t>西藏板块</t>
  </si>
  <si>
    <t>内蒙板块</t>
  </si>
  <si>
    <t>煤炭</t>
  </si>
  <si>
    <t>电力</t>
  </si>
  <si>
    <t>石油</t>
  </si>
  <si>
    <t>钢铁</t>
  </si>
  <si>
    <t>有色</t>
  </si>
  <si>
    <t>化纤</t>
  </si>
  <si>
    <t>化工</t>
  </si>
  <si>
    <t>建材</t>
  </si>
  <si>
    <t>造纸</t>
  </si>
  <si>
    <t>矿物制品</t>
  </si>
  <si>
    <t>日用化工</t>
  </si>
  <si>
    <t>农林牧渔</t>
  </si>
  <si>
    <t>纺织服饰</t>
  </si>
  <si>
    <t>食品饮料</t>
  </si>
  <si>
    <t>酿酒</t>
  </si>
  <si>
    <t>家用电器</t>
  </si>
  <si>
    <t>汽车类</t>
  </si>
  <si>
    <t>医疗保健</t>
  </si>
  <si>
    <t>家居用品</t>
  </si>
  <si>
    <t>医药</t>
  </si>
  <si>
    <t>商业连锁</t>
  </si>
  <si>
    <t>商贸代理</t>
  </si>
  <si>
    <t>传媒娱乐</t>
  </si>
  <si>
    <t>广告包装</t>
  </si>
  <si>
    <t>文教休闲</t>
  </si>
  <si>
    <t>酒店餐饮</t>
  </si>
  <si>
    <t>旅游</t>
  </si>
  <si>
    <t>航空</t>
  </si>
  <si>
    <t>船舶</t>
  </si>
  <si>
    <t>运输设备</t>
  </si>
  <si>
    <t>通用机械</t>
  </si>
  <si>
    <t>工业机械</t>
  </si>
  <si>
    <t>电气设备</t>
  </si>
  <si>
    <t>工程机械</t>
  </si>
  <si>
    <t>电器仪表</t>
  </si>
  <si>
    <t>电信运营</t>
  </si>
  <si>
    <t>公共交通</t>
  </si>
  <si>
    <t>水务</t>
  </si>
  <si>
    <t>供气供热</t>
  </si>
  <si>
    <t>环境保护</t>
  </si>
  <si>
    <t>运输服务</t>
  </si>
  <si>
    <t>仓储物流</t>
  </si>
  <si>
    <t>交通设施</t>
  </si>
  <si>
    <t>银行</t>
  </si>
  <si>
    <t>证券</t>
  </si>
  <si>
    <t>保险</t>
  </si>
  <si>
    <t>多元金融</t>
  </si>
  <si>
    <t>建筑</t>
  </si>
  <si>
    <t>房地产</t>
  </si>
  <si>
    <t>IT设备</t>
  </si>
  <si>
    <t>通信设备</t>
  </si>
  <si>
    <t>半导体</t>
  </si>
  <si>
    <t>元器件</t>
  </si>
  <si>
    <t>软件服务</t>
  </si>
  <si>
    <t>互联网</t>
  </si>
  <si>
    <t>综合类</t>
  </si>
  <si>
    <t>含H股</t>
  </si>
  <si>
    <t>含B股</t>
  </si>
  <si>
    <t>稀缺资源</t>
  </si>
  <si>
    <t>5G概念</t>
  </si>
  <si>
    <t>国防军工</t>
  </si>
  <si>
    <t>海峡西岸</t>
  </si>
  <si>
    <t>通达信88</t>
  </si>
  <si>
    <t>ST板块</t>
  </si>
  <si>
    <t>碳中和</t>
  </si>
  <si>
    <t>智能电网</t>
  </si>
  <si>
    <t>黄金概念</t>
  </si>
  <si>
    <t>含可转债</t>
  </si>
  <si>
    <t>铁路基建</t>
  </si>
  <si>
    <t>次新股</t>
  </si>
  <si>
    <t>整体上市</t>
  </si>
  <si>
    <t>物联网</t>
  </si>
  <si>
    <t>锂电池概念</t>
  </si>
  <si>
    <t>稀土永磁</t>
  </si>
  <si>
    <t>核电核能</t>
  </si>
  <si>
    <t>参股金融</t>
  </si>
  <si>
    <t>股权激励</t>
  </si>
  <si>
    <t>创投概念</t>
  </si>
  <si>
    <t>水利建设</t>
  </si>
  <si>
    <t>外资背景</t>
  </si>
  <si>
    <t>光伏</t>
  </si>
  <si>
    <t>云计算</t>
  </si>
  <si>
    <t>卫星导航</t>
  </si>
  <si>
    <t>可燃冰</t>
  </si>
  <si>
    <t>页岩气</t>
  </si>
  <si>
    <t>生物疫苗</t>
  </si>
  <si>
    <t>节能</t>
  </si>
  <si>
    <t>要约收购</t>
  </si>
  <si>
    <t>高端装备</t>
  </si>
  <si>
    <t>高校背景</t>
  </si>
  <si>
    <t>食品安全</t>
  </si>
  <si>
    <t>白酒概念</t>
  </si>
  <si>
    <t>送转潜力</t>
  </si>
  <si>
    <t>海南自贸</t>
  </si>
  <si>
    <t>生物质能</t>
  </si>
  <si>
    <t>3D打印</t>
  </si>
  <si>
    <t>碳纤维</t>
  </si>
  <si>
    <t>新零售</t>
  </si>
  <si>
    <t>摘帽</t>
  </si>
  <si>
    <t>苹果概念</t>
  </si>
  <si>
    <t>地热能</t>
  </si>
  <si>
    <t>重组股</t>
  </si>
  <si>
    <t>安防服务</t>
  </si>
  <si>
    <t>智能交通</t>
  </si>
  <si>
    <t>空气治理</t>
  </si>
  <si>
    <t>风电</t>
  </si>
  <si>
    <t>充电桩</t>
  </si>
  <si>
    <t>石墨烯</t>
  </si>
  <si>
    <t>风沙治理</t>
  </si>
  <si>
    <t>土地流转</t>
  </si>
  <si>
    <t>聚氨酯</t>
  </si>
  <si>
    <t>绿色照明</t>
  </si>
  <si>
    <t>智能穿戴</t>
  </si>
  <si>
    <t>网络游戏</t>
  </si>
  <si>
    <t>上海自贸</t>
  </si>
  <si>
    <t>互联金融</t>
  </si>
  <si>
    <t>婴童概念</t>
  </si>
  <si>
    <t>一带一路</t>
  </si>
  <si>
    <t>民营银行</t>
  </si>
  <si>
    <t>体育概念</t>
  </si>
  <si>
    <t>养老概念</t>
  </si>
  <si>
    <t>博彩概念</t>
  </si>
  <si>
    <t>民营医院</t>
  </si>
  <si>
    <t>油气改革</t>
  </si>
  <si>
    <t>智慧政务</t>
  </si>
  <si>
    <t>免税概念</t>
  </si>
  <si>
    <t>新进指标股</t>
  </si>
  <si>
    <t>PVDF概念</t>
  </si>
  <si>
    <t>装配式建筑</t>
  </si>
  <si>
    <t>辅助生殖</t>
  </si>
  <si>
    <t>东数西算</t>
  </si>
  <si>
    <t>第三代半导体</t>
  </si>
  <si>
    <t>跨境支付CIPS</t>
  </si>
  <si>
    <t>中俄贸易</t>
  </si>
  <si>
    <t>核污染防治</t>
  </si>
  <si>
    <t>镍金属</t>
  </si>
  <si>
    <t>电子身份证</t>
  </si>
  <si>
    <t>绿色建筑</t>
  </si>
  <si>
    <t>家庭医生</t>
  </si>
  <si>
    <t>大飞机</t>
  </si>
  <si>
    <t>化肥概念</t>
  </si>
  <si>
    <t>业绩预增</t>
  </si>
  <si>
    <t>券商金股</t>
  </si>
  <si>
    <t>NFT概念</t>
  </si>
  <si>
    <t>破增发价</t>
  </si>
  <si>
    <t>肝炎概念</t>
  </si>
  <si>
    <t>新型城镇</t>
  </si>
  <si>
    <t>猴痘概念</t>
  </si>
  <si>
    <t>粮食概念</t>
  </si>
  <si>
    <t>超临界发电</t>
  </si>
  <si>
    <t>钒电池</t>
  </si>
  <si>
    <t>MicroLED</t>
  </si>
  <si>
    <t>虚拟电厂</t>
  </si>
  <si>
    <t>一体压铸</t>
  </si>
  <si>
    <t>动力电池回收</t>
  </si>
  <si>
    <t>汽车热管理</t>
  </si>
  <si>
    <t>含GDR</t>
  </si>
  <si>
    <t>Chiplet概念</t>
  </si>
  <si>
    <t>热泵概念</t>
  </si>
  <si>
    <t>EDA概念</t>
  </si>
  <si>
    <t>TOPCon电池</t>
  </si>
  <si>
    <t>光热发电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</si>
  <si>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</si>
  <si>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</si>
  <si>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</si>
  <si>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</si>
  <si>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</si>
  <si>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</si>
  <si>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</si>
  <si>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</si>
  <si>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</si>
  <si>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创新药</t>
  </si>
  <si>
    <t>ChatGPT概念</t>
  </si>
  <si>
    <t>钙钛矿电池</t>
  </si>
  <si>
    <t>CPO概念</t>
  </si>
  <si>
    <t>数字水印</t>
  </si>
  <si>
    <t>高压快充</t>
  </si>
  <si>
    <t>毫米波雷达</t>
  </si>
  <si>
    <t>工业软件</t>
  </si>
  <si>
    <t>6G概念</t>
  </si>
  <si>
    <t>时空大数据</t>
  </si>
  <si>
    <t>网络直播</t>
  </si>
  <si>
    <t>机器视觉</t>
  </si>
  <si>
    <t>杭州亚运会</t>
  </si>
  <si>
    <t>可控核聚变</t>
  </si>
  <si>
    <t>数据要素</t>
  </si>
  <si>
    <t>知识付费</t>
  </si>
  <si>
    <t>算力概念</t>
  </si>
  <si>
    <t>光通信</t>
  </si>
  <si>
    <t>中特估</t>
  </si>
  <si>
    <t>存储芯片</t>
  </si>
  <si>
    <t>混合现实</t>
  </si>
  <si>
    <t>英伟达概念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</si>
  <si>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</si>
  <si>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</si>
  <si>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</si>
  <si>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</si>
  <si>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</si>
  <si>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</si>
  <si>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</si>
  <si>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</si>
  <si>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</si>
  <si>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</si>
  <si>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</si>
  <si>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</si>
  <si>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</si>
  <si>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</si>
  <si>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</si>
  <si>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</si>
  <si>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</si>
  <si>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</si>
  <si>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</si>
  <si>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</si>
  <si>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</si>
  <si>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</si>
  <si>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</si>
  <si>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</si>
  <si>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</si>
  <si>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</si>
  <si>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</si>
  <si>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</si>
  <si>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</si>
  <si>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</si>
  <si>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</si>
  <si>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</si>
  <si>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</si>
  <si>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</si>
  <si>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</si>
  <si>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</si>
  <si>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</si>
  <si>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物业管理概念</t>
  </si>
  <si>
    <t>汽车拆解</t>
  </si>
  <si>
    <t>NMN概念</t>
  </si>
  <si>
    <t>国资云</t>
  </si>
  <si>
    <t>元宇宙概念</t>
  </si>
  <si>
    <t>云游戏</t>
  </si>
  <si>
    <t>天然气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</si>
  <si>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</si>
  <si>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</si>
  <si>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</si>
  <si>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</si>
  <si>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</si>
  <si>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</si>
  <si>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</si>
  <si>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</si>
  <si>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</si>
  <si>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</si>
  <si>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</si>
  <si>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幽门螺杆菌</t>
  </si>
  <si>
    <t>电子纸</t>
  </si>
  <si>
    <t>新冠药概念</t>
  </si>
  <si>
    <t>股权集中</t>
  </si>
  <si>
    <t>MSCI中盘</t>
  </si>
  <si>
    <t>次新预增</t>
  </si>
  <si>
    <t>高融资盘</t>
  </si>
  <si>
    <t>融资增加</t>
  </si>
  <si>
    <t>QFII新进</t>
  </si>
  <si>
    <t>保险新进</t>
  </si>
  <si>
    <t>社保新进</t>
  </si>
  <si>
    <t>海外业务</t>
  </si>
  <si>
    <t>高商誉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</si>
  <si>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</si>
  <si>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</si>
  <si>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</si>
  <si>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</si>
  <si>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</si>
  <si>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</si>
  <si>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</si>
  <si>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</si>
  <si>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</si>
  <si>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</si>
  <si>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</si>
  <si>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</si>
  <si>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</si>
  <si>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</si>
  <si>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</si>
  <si>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</si>
  <si>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</si>
  <si>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</si>
  <si>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</si>
  <si>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</si>
  <si>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</si>
  <si>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</si>
  <si>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重组预案</t>
  </si>
  <si>
    <t>拟增持</t>
  </si>
  <si>
    <t>拟减持</t>
  </si>
  <si>
    <t>密集调研</t>
  </si>
  <si>
    <t>商誉减值</t>
  </si>
  <si>
    <t>大盘股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</si>
  <si>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</si>
  <si>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</si>
  <si>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</si>
  <si>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</si>
  <si>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</si>
  <si>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</si>
  <si>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</si>
  <si>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</si>
  <si>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</si>
  <si>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</si>
  <si>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</si>
  <si>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</si>
  <si>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</si>
  <si>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</si>
  <si>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</si>
  <si>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</si>
  <si>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</si>
  <si>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</si>
  <si>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</si>
  <si>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</si>
  <si>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</si>
  <si>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</si>
  <si>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</si>
  <si>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</si>
  <si>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</si>
  <si>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证金汇金持股</t>
  </si>
  <si>
    <t>国开持股</t>
  </si>
  <si>
    <t>员工持股</t>
  </si>
  <si>
    <t>扣非亏损</t>
  </si>
  <si>
    <t>连续亏损</t>
  </si>
  <si>
    <t>近期新高</t>
  </si>
  <si>
    <t>近期新低</t>
  </si>
  <si>
    <t>高贝塔值</t>
  </si>
  <si>
    <t>股权转让</t>
  </si>
  <si>
    <t>两年新股</t>
  </si>
  <si>
    <t>股权分散</t>
  </si>
  <si>
    <t>近期复牌</t>
  </si>
  <si>
    <t>个人持股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</si>
  <si>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</si>
  <si>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</si>
  <si>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</si>
  <si>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</si>
  <si>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</si>
  <si>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</si>
  <si>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</si>
  <si>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</si>
  <si>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</si>
  <si>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近端次新</t>
  </si>
  <si>
    <t>次新超跌</t>
  </si>
  <si>
    <t>不活跃股</t>
  </si>
  <si>
    <t>配股预案</t>
  </si>
  <si>
    <t>破发行价</t>
  </si>
  <si>
    <t>高质押股</t>
  </si>
  <si>
    <t>送转超跌</t>
  </si>
  <si>
    <t>养老金持股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</si>
  <si>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</si>
  <si>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</si>
  <si>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</si>
  <si>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</si>
  <si>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</si>
  <si>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</si>
  <si>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</si>
  <si>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</si>
  <si>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机器人概念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</si>
  <si>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</si>
  <si>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</si>
  <si>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</si>
  <si>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</si>
  <si>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</si>
  <si>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</si>
  <si>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</si>
  <si>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</si>
  <si>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</si>
  <si>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</si>
  <si>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</si>
  <si>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</si>
  <si>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</si>
  <si>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</si>
  <si>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</si>
  <si>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</si>
  <si>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</si>
  <si>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</si>
  <si>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</si>
  <si>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</si>
  <si>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</si>
  <si>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</si>
  <si>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</si>
  <si>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</si>
  <si>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</si>
  <si>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</si>
  <si>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</si>
  <si>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</si>
  <si>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</si>
  <si>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</si>
  <si>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债转股AMC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</si>
  <si>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</si>
  <si>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</si>
  <si>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</si>
  <si>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</si>
  <si>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</si>
  <si>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</si>
  <si>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</si>
  <si>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</si>
  <si>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</si>
  <si>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</si>
  <si>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</si>
  <si>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</si>
  <si>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</si>
  <si>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</si>
  <si>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</si>
  <si>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</si>
  <si>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消费电子概念</t>
  </si>
  <si>
    <t>数字货币</t>
  </si>
  <si>
    <t>胎压监测</t>
  </si>
  <si>
    <t>无线耳机</t>
  </si>
  <si>
    <t>分拆上市预期</t>
  </si>
  <si>
    <t>降解塑料</t>
  </si>
  <si>
    <t>医美概念</t>
  </si>
  <si>
    <t>烟草概念</t>
  </si>
  <si>
    <t>有机硅概念</t>
  </si>
  <si>
    <t>新冠检测</t>
  </si>
  <si>
    <t>BIPV概念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</si>
</sst>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4"/>
  <sheetViews>
    <sheetView tabSelected="1" zoomScaleSheetLayoutView="60" workbookViewId="0">
      <selection activeCell="C5" sqref="C5"/>
    </sheetView>
  </sheetViews>
  <sheetFormatPr defaultColWidth="9" defaultRowHeight="13.5" outlineLevelCol="7"/>
  <cols>
    <col min="1" max="1" width="10.375" customWidth="1"/>
    <col min="2" max="2" width="13.25" customWidth="1"/>
    <col min="11" max="11" width="12.625"/>
    <col min="12" max="12" width="10.375"/>
    <col min="25" max="25" width="10.375"/>
    <col min="38" max="39" width="9.375"/>
  </cols>
  <sheetData>
    <row r="1" spans="1:2">
      <c r="A1" t="s">
        <v>0</v>
      </c>
      <c r="B1" t="s">
        <v>1</v>
      </c>
    </row>
    <row r="2" spans="1:2">
      <c r="A2" t="str">
        <f>"880201"</f>
        <v>880201</v>
      </c>
      <c r="B2" t="s">
        <v>2</v>
      </c>
    </row>
    <row r="3" spans="1:2">
      <c r="A3" t="str">
        <f>"880202"</f>
        <v>880202</v>
      </c>
      <c r="B3" t="s">
        <v>3</v>
      </c>
    </row>
    <row r="4" spans="1:2">
      <c r="A4" t="str">
        <f>"880203"</f>
        <v>880203</v>
      </c>
      <c r="B4" t="s">
        <v>4</v>
      </c>
    </row>
    <row r="5" spans="1:2">
      <c r="A5" t="str">
        <f>"880204"</f>
        <v>880204</v>
      </c>
      <c r="B5" t="s">
        <v>5</v>
      </c>
    </row>
    <row r="6" spans="1:2">
      <c r="A6" t="str">
        <f>"880205"</f>
        <v>880205</v>
      </c>
      <c r="B6" t="s">
        <v>6</v>
      </c>
    </row>
    <row r="7" spans="1:2">
      <c r="A7" t="str">
        <f>"880206"</f>
        <v>880206</v>
      </c>
      <c r="B7" t="s">
        <v>7</v>
      </c>
    </row>
    <row r="8" spans="1:8">
      <c r="A8" t="str">
        <f>"880207"</f>
        <v>880207</v>
      </c>
      <c r="B8" t="s">
        <v>8</v>
      </c>
      <c r="C8"/>
      <c r="D8"/>
      <c r="E8"/>
      <c r="F8"/>
      <c r="G8"/>
      <c r="H8" s="1"/>
    </row>
    <row r="9" spans="1:2">
      <c r="A9" t="str">
        <f>"880208"</f>
        <v>880208</v>
      </c>
      <c r="B9" t="s">
        <v>9</v>
      </c>
    </row>
    <row r="10" spans="1:2">
      <c r="A10" t="str">
        <f>"880209"</f>
        <v>880209</v>
      </c>
      <c r="B10" t="s">
        <v>10</v>
      </c>
    </row>
    <row r="11" spans="1:2">
      <c r="A11" t="str">
        <f>"880210"</f>
        <v>880210</v>
      </c>
      <c r="B11" t="s">
        <v>11</v>
      </c>
    </row>
    <row r="12" spans="1:2">
      <c r="A12" t="str">
        <f>"880211"</f>
        <v>880211</v>
      </c>
      <c r="B12" t="s">
        <v>12</v>
      </c>
    </row>
    <row r="13" spans="1:8">
      <c r="A13" t="str">
        <f>"880212"</f>
        <v>880212</v>
      </c>
      <c r="B13" t="s">
        <v>13</v>
      </c>
      <c r="C13"/>
      <c r="D13"/>
      <c r="E13"/>
      <c r="F13"/>
      <c r="G13"/>
      <c r="H13" s="1"/>
    </row>
    <row r="14" spans="1:2">
      <c r="A14" t="str">
        <f>"880213"</f>
        <v>880213</v>
      </c>
      <c r="B14" t="s">
        <v>14</v>
      </c>
    </row>
    <row r="15" spans="1:2">
      <c r="A15" t="str">
        <f>"880214"</f>
        <v>880214</v>
      </c>
      <c r="B15" t="s">
        <v>15</v>
      </c>
    </row>
    <row r="16" spans="1:2">
      <c r="A16" t="str">
        <f>"880215"</f>
        <v>880215</v>
      </c>
      <c r="B16" t="s">
        <v>16</v>
      </c>
    </row>
    <row r="17" spans="1:8">
      <c r="A17" t="str">
        <f>"880216"</f>
        <v>880216</v>
      </c>
      <c r="B17" t="s">
        <v>17</v>
      </c>
      <c r="C17"/>
      <c r="D17"/>
      <c r="E17"/>
      <c r="F17"/>
      <c r="G17"/>
      <c r="H17" s="1"/>
    </row>
    <row r="18" spans="1:2">
      <c r="A18" t="str">
        <f>"880217"</f>
        <v>880217</v>
      </c>
      <c r="B18" t="s">
        <v>18</v>
      </c>
    </row>
    <row r="19" spans="1:8">
      <c r="A19" t="str">
        <f>"880218"</f>
        <v>880218</v>
      </c>
      <c r="B19" t="s">
        <v>19</v>
      </c>
      <c r="C19"/>
      <c r="D19"/>
      <c r="E19"/>
      <c r="F19"/>
      <c r="G19"/>
      <c r="H19" s="1"/>
    </row>
    <row r="20" spans="1:2">
      <c r="A20" t="str">
        <f>"880219"</f>
        <v>880219</v>
      </c>
      <c r="B20" t="s">
        <v>20</v>
      </c>
    </row>
    <row r="21" spans="1:2">
      <c r="A21" t="str">
        <f>"880220"</f>
        <v>880220</v>
      </c>
      <c r="B21" t="s">
        <v>21</v>
      </c>
    </row>
    <row r="22" spans="1:2">
      <c r="A22" t="str">
        <f>"880221"</f>
        <v>880221</v>
      </c>
      <c r="B22" t="s">
        <v>22</v>
      </c>
    </row>
    <row r="23" spans="1:2">
      <c r="A23" t="str">
        <f>"880222"</f>
        <v>880222</v>
      </c>
      <c r="B23" t="s">
        <v>23</v>
      </c>
    </row>
    <row r="24" spans="1:2">
      <c r="A24" t="str">
        <f>"880223"</f>
        <v>880223</v>
      </c>
      <c r="B24" t="s">
        <v>24</v>
      </c>
    </row>
    <row r="25" spans="1:2">
      <c r="A25" t="str">
        <f>"880224"</f>
        <v>880224</v>
      </c>
      <c r="B25" t="s">
        <v>25</v>
      </c>
    </row>
    <row r="26" spans="1:2">
      <c r="A26" t="str">
        <f>"880225"</f>
        <v>880225</v>
      </c>
      <c r="B26" t="s">
        <v>26</v>
      </c>
    </row>
    <row r="27" spans="1:8">
      <c r="A27" t="str">
        <f>"880226"</f>
        <v>880226</v>
      </c>
      <c r="B27" t="s">
        <v>27</v>
      </c>
      <c r="C27"/>
      <c r="D27"/>
      <c r="E27"/>
      <c r="F27"/>
      <c r="G27"/>
      <c r="H27" s="1"/>
    </row>
    <row r="28" spans="1:2">
      <c r="A28" t="str">
        <f>"880227"</f>
        <v>880227</v>
      </c>
      <c r="B28" t="s">
        <v>28</v>
      </c>
    </row>
    <row r="29" spans="1:8">
      <c r="A29" t="str">
        <f>"880228"</f>
        <v>880228</v>
      </c>
      <c r="B29" t="s">
        <v>29</v>
      </c>
      <c r="C29"/>
      <c r="D29"/>
      <c r="E29"/>
      <c r="F29"/>
      <c r="G29"/>
      <c r="H29" s="1"/>
    </row>
    <row r="30" spans="1:2">
      <c r="A30" t="str">
        <f>"880229"</f>
        <v>880229</v>
      </c>
      <c r="B30" t="s">
        <v>30</v>
      </c>
    </row>
    <row r="31" spans="1:2">
      <c r="A31" t="str">
        <f>"880230"</f>
        <v>880230</v>
      </c>
      <c r="B31" t="s">
        <v>31</v>
      </c>
    </row>
    <row r="32" spans="1:2">
      <c r="A32" t="str">
        <f>"880231"</f>
        <v>880231</v>
      </c>
      <c r="B32" t="s">
        <v>32</v>
      </c>
    </row>
    <row r="33" spans="1:2">
      <c r="A33" t="str">
        <f>"880232"</f>
        <v>880232</v>
      </c>
      <c r="B33" t="s">
        <v>33</v>
      </c>
    </row>
    <row r="34" spans="1:2">
      <c r="A34" t="str">
        <f>"880301"</f>
        <v>880301</v>
      </c>
      <c r="B34" t="s">
        <v>34</v>
      </c>
    </row>
    <row r="35" spans="1:2">
      <c r="A35" t="str">
        <f>"880305"</f>
        <v>880305</v>
      </c>
      <c r="B35" t="s">
        <v>35</v>
      </c>
    </row>
    <row r="36" spans="1:2">
      <c r="A36" t="str">
        <f>"880310"</f>
        <v>880310</v>
      </c>
      <c r="B36" t="s">
        <v>36</v>
      </c>
    </row>
    <row r="37" spans="1:2">
      <c r="A37" t="str">
        <f>"880318"</f>
        <v>880318</v>
      </c>
      <c r="B37" t="s">
        <v>37</v>
      </c>
    </row>
    <row r="38" spans="1:2">
      <c r="A38" t="str">
        <f>"880324"</f>
        <v>880324</v>
      </c>
      <c r="B38" t="s">
        <v>38</v>
      </c>
    </row>
    <row r="39" spans="1:2">
      <c r="A39" t="str">
        <f>"880330"</f>
        <v>880330</v>
      </c>
      <c r="B39" t="s">
        <v>39</v>
      </c>
    </row>
    <row r="40" spans="1:8">
      <c r="A40" t="str">
        <f>"880335"</f>
        <v>880335</v>
      </c>
      <c r="B40" t="s">
        <v>40</v>
      </c>
      <c r="C40"/>
      <c r="D40"/>
      <c r="E40"/>
      <c r="F40"/>
      <c r="G40"/>
      <c r="H40" s="1"/>
    </row>
    <row r="41" spans="1:2">
      <c r="A41" t="str">
        <f>"880344"</f>
        <v>880344</v>
      </c>
      <c r="B41" t="s">
        <v>41</v>
      </c>
    </row>
    <row r="42" spans="1:2">
      <c r="A42" t="str">
        <f>"880350"</f>
        <v>880350</v>
      </c>
      <c r="B42" t="s">
        <v>42</v>
      </c>
    </row>
    <row r="43" spans="1:2">
      <c r="A43" t="str">
        <f>"880351"</f>
        <v>880351</v>
      </c>
      <c r="B43" t="s">
        <v>43</v>
      </c>
    </row>
    <row r="44" spans="1:2">
      <c r="A44" t="str">
        <f>"880355"</f>
        <v>880355</v>
      </c>
      <c r="B44" t="s">
        <v>44</v>
      </c>
    </row>
    <row r="45" spans="1:2">
      <c r="A45" t="str">
        <f>"880360"</f>
        <v>880360</v>
      </c>
      <c r="B45" t="s">
        <v>45</v>
      </c>
    </row>
    <row r="46" spans="1:2">
      <c r="A46" t="str">
        <f>"880367"</f>
        <v>880367</v>
      </c>
      <c r="B46" t="s">
        <v>46</v>
      </c>
    </row>
    <row r="47" spans="1:2">
      <c r="A47" t="str">
        <f>"880372"</f>
        <v>880372</v>
      </c>
      <c r="B47" t="s">
        <v>47</v>
      </c>
    </row>
    <row r="48" spans="1:2">
      <c r="A48" t="str">
        <f>"880380"</f>
        <v>880380</v>
      </c>
      <c r="B48" t="s">
        <v>48</v>
      </c>
    </row>
    <row r="49" spans="1:2">
      <c r="A49" t="str">
        <f>"880387"</f>
        <v>880387</v>
      </c>
      <c r="B49" t="s">
        <v>49</v>
      </c>
    </row>
    <row r="50" spans="1:2">
      <c r="A50" t="str">
        <f>"880390"</f>
        <v>880390</v>
      </c>
      <c r="B50" t="s">
        <v>50</v>
      </c>
    </row>
    <row r="51" spans="1:8">
      <c r="A51" t="str">
        <f>"880398"</f>
        <v>880398</v>
      </c>
      <c r="B51" t="s">
        <v>51</v>
      </c>
      <c r="C51"/>
      <c r="D51"/>
      <c r="E51"/>
      <c r="F51"/>
      <c r="G51"/>
      <c r="H51" s="1"/>
    </row>
    <row r="52" spans="1:2">
      <c r="A52" t="str">
        <f>"880399"</f>
        <v>880399</v>
      </c>
      <c r="B52" t="s">
        <v>52</v>
      </c>
    </row>
    <row r="53" spans="1:8">
      <c r="A53" t="str">
        <f>"880400"</f>
        <v>880400</v>
      </c>
      <c r="B53" t="s">
        <v>53</v>
      </c>
      <c r="C53"/>
      <c r="D53"/>
      <c r="E53"/>
      <c r="F53"/>
      <c r="G53"/>
      <c r="H53" s="1"/>
    </row>
    <row r="54" spans="1:2">
      <c r="A54" t="str">
        <f>"880406"</f>
        <v>880406</v>
      </c>
      <c r="B54" t="s">
        <v>54</v>
      </c>
    </row>
    <row r="55" spans="1:2">
      <c r="A55" t="str">
        <f>"880414"</f>
        <v>880414</v>
      </c>
      <c r="B55" t="s">
        <v>55</v>
      </c>
    </row>
    <row r="56" spans="1:2">
      <c r="A56" t="str">
        <f>"880418"</f>
        <v>880418</v>
      </c>
      <c r="B56" t="s">
        <v>56</v>
      </c>
    </row>
    <row r="57" spans="1:2">
      <c r="A57" t="str">
        <f>"880421"</f>
        <v>880421</v>
      </c>
      <c r="B57" t="s">
        <v>57</v>
      </c>
    </row>
    <row r="58" spans="1:2">
      <c r="A58" t="str">
        <f>"880422"</f>
        <v>880422</v>
      </c>
      <c r="B58" t="s">
        <v>58</v>
      </c>
    </row>
    <row r="59" spans="1:2">
      <c r="A59" t="str">
        <f>"880423"</f>
        <v>880423</v>
      </c>
      <c r="B59" t="s">
        <v>59</v>
      </c>
    </row>
    <row r="60" spans="1:2">
      <c r="A60" t="str">
        <f>"880424"</f>
        <v>880424</v>
      </c>
      <c r="B60" t="s">
        <v>60</v>
      </c>
    </row>
    <row r="61" spans="1:2">
      <c r="A61" t="str">
        <f>"880430"</f>
        <v>880430</v>
      </c>
      <c r="B61" t="s">
        <v>61</v>
      </c>
    </row>
    <row r="62" spans="1:2">
      <c r="A62" t="str">
        <f>"880431"</f>
        <v>880431</v>
      </c>
      <c r="B62" t="s">
        <v>62</v>
      </c>
    </row>
    <row r="63" spans="1:2">
      <c r="A63" t="str">
        <f>"880432"</f>
        <v>880432</v>
      </c>
      <c r="B63" t="s">
        <v>63</v>
      </c>
    </row>
    <row r="64" spans="1:2">
      <c r="A64" t="str">
        <f>"880437"</f>
        <v>880437</v>
      </c>
      <c r="B64" t="s">
        <v>64</v>
      </c>
    </row>
    <row r="65" spans="1:2">
      <c r="A65" t="str">
        <f>"880440"</f>
        <v>880440</v>
      </c>
      <c r="B65" t="s">
        <v>65</v>
      </c>
    </row>
    <row r="66" spans="1:2">
      <c r="A66" t="str">
        <f>"880446"</f>
        <v>880446</v>
      </c>
      <c r="B66" t="s">
        <v>66</v>
      </c>
    </row>
    <row r="67" spans="1:2">
      <c r="A67" t="str">
        <f>"880447"</f>
        <v>880447</v>
      </c>
      <c r="B67" t="s">
        <v>67</v>
      </c>
    </row>
    <row r="68" spans="1:2">
      <c r="A68" t="str">
        <f>"880448"</f>
        <v>880448</v>
      </c>
      <c r="B68" t="s">
        <v>68</v>
      </c>
    </row>
    <row r="69" spans="1:2">
      <c r="A69" t="str">
        <f>"880452"</f>
        <v>880452</v>
      </c>
      <c r="B69" t="s">
        <v>69</v>
      </c>
    </row>
    <row r="70" spans="1:2">
      <c r="A70" t="str">
        <f>"880453"</f>
        <v>880453</v>
      </c>
      <c r="B70" t="s">
        <v>70</v>
      </c>
    </row>
    <row r="71" spans="1:2">
      <c r="A71" t="str">
        <f>"880454"</f>
        <v>880454</v>
      </c>
      <c r="B71" t="s">
        <v>71</v>
      </c>
    </row>
    <row r="72" spans="1:2">
      <c r="A72" t="str">
        <f>"880455"</f>
        <v>880455</v>
      </c>
      <c r="B72" t="s">
        <v>72</v>
      </c>
    </row>
    <row r="73" spans="1:2">
      <c r="A73" t="str">
        <f>"880456"</f>
        <v>880456</v>
      </c>
      <c r="B73" t="s">
        <v>73</v>
      </c>
    </row>
    <row r="74" spans="1:2">
      <c r="A74" t="str">
        <f>"880459"</f>
        <v>880459</v>
      </c>
      <c r="B74" t="s">
        <v>74</v>
      </c>
    </row>
    <row r="75" spans="1:2">
      <c r="A75" t="str">
        <f>"880464"</f>
        <v>880464</v>
      </c>
      <c r="B75" t="s">
        <v>75</v>
      </c>
    </row>
    <row r="76" spans="1:2">
      <c r="A76" t="str">
        <f>"880465"</f>
        <v>880465</v>
      </c>
      <c r="B76" t="s">
        <v>76</v>
      </c>
    </row>
    <row r="77" spans="1:2">
      <c r="A77" t="str">
        <f>"880471"</f>
        <v>880471</v>
      </c>
      <c r="B77" t="s">
        <v>77</v>
      </c>
    </row>
    <row r="78" spans="1:2">
      <c r="A78" t="str">
        <f>"880472"</f>
        <v>880472</v>
      </c>
      <c r="B78" t="s">
        <v>78</v>
      </c>
    </row>
    <row r="79" spans="1:2">
      <c r="A79" t="str">
        <f>"880473"</f>
        <v>880473</v>
      </c>
      <c r="B79" t="s">
        <v>79</v>
      </c>
    </row>
    <row r="80" spans="1:2">
      <c r="A80" t="str">
        <f>"880474"</f>
        <v>880474</v>
      </c>
      <c r="B80" t="s">
        <v>80</v>
      </c>
    </row>
    <row r="81" spans="1:2">
      <c r="A81" t="str">
        <f>"880476"</f>
        <v>880476</v>
      </c>
      <c r="B81" t="s">
        <v>81</v>
      </c>
    </row>
    <row r="82" spans="1:2">
      <c r="A82" t="str">
        <f>"880482"</f>
        <v>880482</v>
      </c>
      <c r="B82" t="s">
        <v>82</v>
      </c>
    </row>
    <row r="83" spans="1:2">
      <c r="A83" t="str">
        <f>"880489"</f>
        <v>880489</v>
      </c>
      <c r="B83" t="s">
        <v>83</v>
      </c>
    </row>
    <row r="84" spans="1:2">
      <c r="A84" t="str">
        <f>"880490"</f>
        <v>880490</v>
      </c>
      <c r="B84" t="s">
        <v>84</v>
      </c>
    </row>
    <row r="85" spans="1:2">
      <c r="A85" t="str">
        <f>"880491"</f>
        <v>880491</v>
      </c>
      <c r="B85" t="s">
        <v>85</v>
      </c>
    </row>
    <row r="86" spans="1:2">
      <c r="A86" t="str">
        <f>"880492"</f>
        <v>880492</v>
      </c>
      <c r="B86" t="s">
        <v>86</v>
      </c>
    </row>
    <row r="87" spans="1:8">
      <c r="A87" t="str">
        <f>"880493"</f>
        <v>880493</v>
      </c>
      <c r="B87" t="s">
        <v>87</v>
      </c>
      <c r="C87"/>
      <c r="D87"/>
      <c r="E87"/>
      <c r="F87"/>
      <c r="G87"/>
      <c r="H87" s="1"/>
    </row>
    <row r="88" spans="1:2">
      <c r="A88" t="str">
        <f>"880494"</f>
        <v>880494</v>
      </c>
      <c r="B88" t="s">
        <v>88</v>
      </c>
    </row>
    <row r="89" spans="1:2">
      <c r="A89" t="str">
        <f>"880497"</f>
        <v>880497</v>
      </c>
      <c r="B89" t="s">
        <v>89</v>
      </c>
    </row>
    <row r="90" spans="1:8">
      <c r="A90" t="str">
        <f>"880501"</f>
        <v>880501</v>
      </c>
      <c r="B90" t="s">
        <v>90</v>
      </c>
      <c r="C90"/>
      <c r="D90"/>
      <c r="E90"/>
      <c r="F90"/>
      <c r="G90"/>
      <c r="H90" s="1"/>
    </row>
    <row r="91" spans="1:2">
      <c r="A91" t="str">
        <f>"880502"</f>
        <v>880502</v>
      </c>
      <c r="B91" t="s">
        <v>91</v>
      </c>
    </row>
    <row r="92" spans="1:2">
      <c r="A92" t="str">
        <f>"880505"</f>
        <v>880505</v>
      </c>
      <c r="B92" t="s">
        <v>92</v>
      </c>
    </row>
    <row r="93" spans="1:8">
      <c r="A93" t="str">
        <f>"880506"</f>
        <v>880506</v>
      </c>
      <c r="B93" t="s">
        <v>93</v>
      </c>
      <c r="C93"/>
      <c r="D93"/>
      <c r="E93"/>
      <c r="F93"/>
      <c r="G93"/>
      <c r="H93" s="1"/>
    </row>
    <row r="94" spans="1:8">
      <c r="A94" t="str">
        <f>"880507"</f>
        <v>880507</v>
      </c>
      <c r="B94" t="s">
        <v>94</v>
      </c>
      <c r="C94"/>
      <c r="D94"/>
      <c r="E94"/>
      <c r="F94"/>
      <c r="G94"/>
      <c r="H94" s="1"/>
    </row>
    <row r="95" spans="1:2">
      <c r="A95" t="str">
        <f>"880513"</f>
        <v>880513</v>
      </c>
      <c r="B95" t="s">
        <v>95</v>
      </c>
    </row>
    <row r="96" spans="1:2">
      <c r="A96" t="str">
        <f>"880515"</f>
        <v>880515</v>
      </c>
      <c r="B96" t="s">
        <v>96</v>
      </c>
    </row>
    <row r="97" spans="1:2">
      <c r="A97" t="str">
        <f>"880516"</f>
        <v>880516</v>
      </c>
      <c r="B97" t="s">
        <v>97</v>
      </c>
    </row>
    <row r="98" spans="1:2">
      <c r="A98" t="str">
        <f>"880519"</f>
        <v>880519</v>
      </c>
      <c r="B98" t="s">
        <v>98</v>
      </c>
    </row>
    <row r="99" spans="1:2">
      <c r="A99" t="str">
        <f>"880520"</f>
        <v>880520</v>
      </c>
      <c r="B99" t="s">
        <v>99</v>
      </c>
    </row>
    <row r="100" spans="1:2">
      <c r="A100" t="str">
        <f>"880521"</f>
        <v>880521</v>
      </c>
      <c r="B100" t="s">
        <v>100</v>
      </c>
    </row>
    <row r="101" spans="1:8">
      <c r="A101" t="str">
        <f>"880524"</f>
        <v>880524</v>
      </c>
      <c r="B101" t="s">
        <v>101</v>
      </c>
      <c r="C101"/>
      <c r="D101"/>
      <c r="E101"/>
      <c r="F101"/>
      <c r="G101"/>
      <c r="H101" s="1"/>
    </row>
    <row r="102" spans="1:2">
      <c r="A102" t="str">
        <f>"880525"</f>
        <v>880525</v>
      </c>
      <c r="B102" t="s">
        <v>102</v>
      </c>
    </row>
    <row r="103" spans="1:8">
      <c r="A103" t="str">
        <f>"880529"</f>
        <v>880529</v>
      </c>
      <c r="B103" t="s">
        <v>103</v>
      </c>
      <c r="C103"/>
      <c r="D103"/>
      <c r="E103"/>
      <c r="F103"/>
      <c r="G103"/>
      <c r="H103" s="1"/>
    </row>
    <row r="104" spans="1:2">
      <c r="A104" t="str">
        <f>"880532"</f>
        <v>880532</v>
      </c>
      <c r="B104" t="s">
        <v>104</v>
      </c>
    </row>
    <row r="105" spans="1:8">
      <c r="A105" t="str">
        <f>"880533"</f>
        <v>880533</v>
      </c>
      <c r="B105" t="s">
        <v>105</v>
      </c>
      <c r="C105"/>
      <c r="D105"/>
      <c r="E105"/>
      <c r="F105"/>
      <c r="G105"/>
      <c r="H105" s="1"/>
    </row>
    <row r="106" spans="1:2">
      <c r="A106" t="str">
        <f>"880534"</f>
        <v>880534</v>
      </c>
      <c r="B106" t="s">
        <v>106</v>
      </c>
    </row>
    <row r="107" spans="1:2">
      <c r="A107" t="str">
        <f>"880535"</f>
        <v>880535</v>
      </c>
      <c r="B107" t="s">
        <v>107</v>
      </c>
    </row>
    <row r="108" spans="1:2">
      <c r="A108" t="str">
        <f>"880537"</f>
        <v>880537</v>
      </c>
      <c r="B108" t="s">
        <v>108</v>
      </c>
    </row>
    <row r="109" spans="1:2">
      <c r="A109" t="str">
        <f>"880538"</f>
        <v>880538</v>
      </c>
      <c r="B109" t="s">
        <v>109</v>
      </c>
    </row>
    <row r="110" spans="1:2">
      <c r="A110" t="str">
        <f>"880539"</f>
        <v>880539</v>
      </c>
      <c r="B110" t="s">
        <v>110</v>
      </c>
    </row>
    <row r="111" spans="1:8">
      <c r="A111" t="str">
        <f>"880540"</f>
        <v>880540</v>
      </c>
      <c r="B111" t="s">
        <v>111</v>
      </c>
      <c r="C111"/>
      <c r="D111"/>
      <c r="E111"/>
      <c r="F111"/>
      <c r="G111"/>
      <c r="H111" s="1"/>
    </row>
    <row r="112" spans="1:2">
      <c r="A112" t="str">
        <f>"880542"</f>
        <v>880542</v>
      </c>
      <c r="B112" t="s">
        <v>112</v>
      </c>
    </row>
    <row r="113" spans="1:2">
      <c r="A113" t="str">
        <f>"880543"</f>
        <v>880543</v>
      </c>
      <c r="B113" t="s">
        <v>113</v>
      </c>
    </row>
    <row r="114" spans="1:8">
      <c r="A114" t="str">
        <f>"880544"</f>
        <v>880544</v>
      </c>
      <c r="B114" t="s">
        <v>114</v>
      </c>
      <c r="C114"/>
      <c r="D114"/>
      <c r="E114"/>
      <c r="F114"/>
      <c r="G114"/>
      <c r="H114" s="1"/>
    </row>
    <row r="115" spans="1:2">
      <c r="A115" t="str">
        <f>"880545"</f>
        <v>880545</v>
      </c>
      <c r="B115" t="s">
        <v>115</v>
      </c>
    </row>
    <row r="116" spans="1:2">
      <c r="A116" t="str">
        <f>"880546"</f>
        <v>880546</v>
      </c>
      <c r="B116" t="s">
        <v>116</v>
      </c>
    </row>
    <row r="117" spans="1:2">
      <c r="A117" t="str">
        <f>"880549"</f>
        <v>880549</v>
      </c>
      <c r="B117" t="s">
        <v>117</v>
      </c>
    </row>
    <row r="118" spans="1:2">
      <c r="A118" t="str">
        <f>"880553"</f>
        <v>880553</v>
      </c>
      <c r="B118" t="s">
        <v>118</v>
      </c>
    </row>
    <row r="119" spans="1:2">
      <c r="A119" t="str">
        <f>"880557"</f>
        <v>880557</v>
      </c>
      <c r="B119" t="s">
        <v>119</v>
      </c>
    </row>
    <row r="120" spans="1:2">
      <c r="A120" t="str">
        <f>"880558"</f>
        <v>880558</v>
      </c>
      <c r="B120" t="s">
        <v>120</v>
      </c>
    </row>
    <row r="121" spans="1:2">
      <c r="A121" t="str">
        <f>"880559"</f>
        <v>880559</v>
      </c>
      <c r="B121" t="s">
        <v>121</v>
      </c>
    </row>
    <row r="122" spans="1:2">
      <c r="A122" t="str">
        <f>"880560"</f>
        <v>880560</v>
      </c>
      <c r="B122" t="s">
        <v>122</v>
      </c>
    </row>
    <row r="123" spans="1:2">
      <c r="A123" t="str">
        <f>"880562"</f>
        <v>880562</v>
      </c>
      <c r="B123" t="s">
        <v>123</v>
      </c>
    </row>
    <row r="124" spans="1:2">
      <c r="A124" t="str">
        <f>"880563"</f>
        <v>880563</v>
      </c>
      <c r="B124" t="s">
        <v>124</v>
      </c>
    </row>
    <row r="125" spans="1:2">
      <c r="A125" t="str">
        <f>"880564"</f>
        <v>880564</v>
      </c>
      <c r="B125" t="s">
        <v>125</v>
      </c>
    </row>
    <row r="126" spans="1:2">
      <c r="A126" t="str">
        <f>"880565"</f>
        <v>880565</v>
      </c>
      <c r="B126" t="s">
        <v>126</v>
      </c>
    </row>
    <row r="127" spans="1:2">
      <c r="A127" t="str">
        <f>"880567"</f>
        <v>880567</v>
      </c>
      <c r="B127" t="s">
        <v>127</v>
      </c>
    </row>
    <row r="128" spans="1:2">
      <c r="A128" t="str">
        <f>"880568"</f>
        <v>880568</v>
      </c>
      <c r="B128" t="s">
        <v>128</v>
      </c>
    </row>
    <row r="129" spans="1:2">
      <c r="A129" t="str">
        <f>"880569"</f>
        <v>880569</v>
      </c>
      <c r="B129" t="s">
        <v>129</v>
      </c>
    </row>
    <row r="130" spans="1:2">
      <c r="A130" t="str">
        <f>"880571"</f>
        <v>880571</v>
      </c>
      <c r="B130" t="s">
        <v>130</v>
      </c>
    </row>
    <row r="131" spans="1:2">
      <c r="A131" t="str">
        <f>"880572"</f>
        <v>880572</v>
      </c>
      <c r="B131" t="s">
        <v>131</v>
      </c>
    </row>
    <row r="132" spans="1:2">
      <c r="A132" t="str">
        <f>"880573"</f>
        <v>880573</v>
      </c>
      <c r="B132" t="s">
        <v>132</v>
      </c>
    </row>
    <row r="133" spans="1:2">
      <c r="A133" t="str">
        <f>"880574"</f>
        <v>880574</v>
      </c>
      <c r="B133" t="s">
        <v>133</v>
      </c>
    </row>
    <row r="134" spans="1:2">
      <c r="A134" t="str">
        <f>"880575"</f>
        <v>880575</v>
      </c>
      <c r="B134" t="s">
        <v>134</v>
      </c>
    </row>
    <row r="135" spans="1:2">
      <c r="A135" t="str">
        <f>"880576"</f>
        <v>880576</v>
      </c>
      <c r="B135" t="s">
        <v>135</v>
      </c>
    </row>
    <row r="136" spans="1:2">
      <c r="A136" t="str">
        <f>"880577"</f>
        <v>880577</v>
      </c>
      <c r="B136" t="s">
        <v>136</v>
      </c>
    </row>
    <row r="137" spans="1:2">
      <c r="A137" t="str">
        <f>"880580"</f>
        <v>880580</v>
      </c>
      <c r="B137" t="s">
        <v>137</v>
      </c>
    </row>
    <row r="138" spans="1:2">
      <c r="A138" t="str">
        <f>"880581"</f>
        <v>880581</v>
      </c>
      <c r="B138" t="s">
        <v>138</v>
      </c>
    </row>
    <row r="139" spans="1:2">
      <c r="A139" t="str">
        <f>"880582"</f>
        <v>880582</v>
      </c>
      <c r="B139" t="s">
        <v>139</v>
      </c>
    </row>
    <row r="140" spans="1:2">
      <c r="A140" t="str">
        <f>"880583"</f>
        <v>880583</v>
      </c>
      <c r="B140" t="s">
        <v>140</v>
      </c>
    </row>
    <row r="141" spans="1:2">
      <c r="A141" t="str">
        <f>"880584"</f>
        <v>880584</v>
      </c>
      <c r="B141" t="s">
        <v>141</v>
      </c>
    </row>
    <row r="142" spans="1:2">
      <c r="A142" t="str">
        <f>"880585"</f>
        <v>880585</v>
      </c>
      <c r="B142" t="s">
        <v>142</v>
      </c>
    </row>
    <row r="143" spans="1:2">
      <c r="A143" t="str">
        <f>"880586"</f>
        <v>880586</v>
      </c>
      <c r="B143" t="s">
        <v>143</v>
      </c>
    </row>
    <row r="144" spans="1:2">
      <c r="A144" t="str">
        <f>"880587"</f>
        <v>880587</v>
      </c>
      <c r="B144" t="s">
        <v>144</v>
      </c>
    </row>
    <row r="145" spans="1:2">
      <c r="A145" t="str">
        <f>"880588"</f>
        <v>880588</v>
      </c>
      <c r="B145" t="s">
        <v>145</v>
      </c>
    </row>
    <row r="146" spans="1:2">
      <c r="A146" t="str">
        <f>"880589"</f>
        <v>880589</v>
      </c>
      <c r="B146" t="s">
        <v>146</v>
      </c>
    </row>
    <row r="147" spans="1:2">
      <c r="A147" t="str">
        <f>"880590"</f>
        <v>880590</v>
      </c>
      <c r="B147" t="s">
        <v>147</v>
      </c>
    </row>
    <row r="148" spans="1:2">
      <c r="A148" t="str">
        <f>"880591"</f>
        <v>880591</v>
      </c>
      <c r="B148" t="s">
        <v>148</v>
      </c>
    </row>
    <row r="149" spans="1:2">
      <c r="A149" t="str">
        <f>"880592"</f>
        <v>880592</v>
      </c>
      <c r="B149" t="s">
        <v>149</v>
      </c>
    </row>
    <row r="150" spans="1:2">
      <c r="A150" t="str">
        <f>"880593"</f>
        <v>880593</v>
      </c>
      <c r="B150" t="s">
        <v>150</v>
      </c>
    </row>
    <row r="151" spans="1:8">
      <c r="A151" t="str">
        <f>"880594"</f>
        <v>880594</v>
      </c>
      <c r="B151" t="s">
        <v>151</v>
      </c>
      <c r="C151"/>
      <c r="D151"/>
      <c r="E151"/>
      <c r="F151"/>
      <c r="G151"/>
      <c r="H151" s="1"/>
    </row>
    <row r="152" spans="1:2">
      <c r="A152" t="str">
        <f>"880595"</f>
        <v>880595</v>
      </c>
      <c r="B152" t="s">
        <v>152</v>
      </c>
    </row>
    <row r="153" spans="1:2">
      <c r="A153" t="str">
        <f>"880596"</f>
        <v>880596</v>
      </c>
      <c r="B153" t="s">
        <v>153</v>
      </c>
    </row>
    <row r="154" spans="1:2">
      <c r="A154" t="str">
        <f>"880597"</f>
        <v>880597</v>
      </c>
      <c r="B154" t="s">
        <v>154</v>
      </c>
    </row>
    <row r="155" spans="1:2">
      <c r="A155" t="str">
        <f>"880598"</f>
        <v>880598</v>
      </c>
      <c r="B155" t="s">
        <v>155</v>
      </c>
    </row>
    <row r="156" spans="1:2">
      <c r="A156" t="str">
        <f>"880599"</f>
        <v>880599</v>
      </c>
      <c r="B156" t="s">
        <v>156</v>
      </c>
    </row>
    <row r="157" spans="1:2">
      <c r="A157" t="str">
        <f>"880600"</f>
        <v>880600</v>
      </c>
      <c r="B157" t="s">
        <v>157</v>
      </c>
    </row>
    <row r="158" spans="1:2">
      <c r="A158" t="str">
        <f>"880601"</f>
        <v>880601</v>
      </c>
      <c r="B158" t="s">
        <v>158</v>
      </c>
    </row>
    <row r="159" spans="1:2">
      <c r="A159" t="str">
        <f>"880602"</f>
        <v>880602</v>
      </c>
      <c r="B159" t="s">
        <v>159</v>
      </c>
    </row>
    <row r="160" spans="1:2">
      <c r="A160" t="str">
        <f>"880603"</f>
        <v>880603</v>
      </c>
      <c r="B160" t="s">
        <v>160</v>
      </c>
    </row>
    <row r="161" spans="1:2">
      <c r="A161" t="str">
        <f>"880604"</f>
        <v>880604</v>
      </c>
      <c r="B161" t="s">
        <v>161</v>
      </c>
    </row>
    <row r="162" spans="1:2">
      <c r="A162" t="str">
        <f>"880605"</f>
        <v>880605</v>
      </c>
      <c r="B162" t="s">
        <v>162</v>
      </c>
    </row>
    <row r="163" spans="1:2">
      <c r="A163" t="str">
        <f>"880606"</f>
        <v>880606</v>
      </c>
      <c r="B163" t="s">
        <v>163</v>
      </c>
    </row>
    <row r="164" spans="1:2">
      <c r="A164" t="str">
        <f>"880607"</f>
        <v>880607</v>
      </c>
      <c r="B164" t="s">
        <v>164</v>
      </c>
    </row>
    <row r="165" spans="1:2">
      <c r="A165" t="str">
        <f>"880608"</f>
        <v>880608</v>
      </c>
      <c r="B165" t="s">
        <v>165</v>
      </c>
    </row>
    <row r="166" spans="1:2">
      <c r="A166" t="str">
        <f>"880609"</f>
        <v>880609</v>
      </c>
      <c r="B166" t="s">
        <v>166</v>
      </c>
    </row>
    <row r="167" spans="1:2">
      <c r="A167" t="str">
        <f>"880610"</f>
        <v>880610</v>
      </c>
      <c r="B167" t="s">
        <v>167</v>
      </c>
    </row>
    <row r="168" spans="1:2">
      <c r="A168" t="str">
        <f>"880611"</f>
        <v>880611</v>
      </c>
      <c r="B168" t="s">
        <v>168</v>
      </c>
    </row>
    <row r="169" spans="1:2">
      <c r="A169" t="str">
        <f>"880612"</f>
        <v>880612</v>
      </c>
      <c r="B169" t="s">
        <v>169</v>
      </c>
    </row>
    <row r="170" spans="1:2">
      <c r="A170" t="str">
        <f>"880613"</f>
        <v>880613</v>
      </c>
      <c r="B170" t="s">
        <v>170</v>
      </c>
    </row>
    <row r="171" spans="1:2">
      <c r="A171" t="str">
        <f>"880614"</f>
        <v>880614</v>
      </c>
      <c r="B171" t="s">
        <v>171</v>
      </c>
    </row>
    <row r="172" spans="1:2">
      <c r="A172" t="str">
        <f>"880615"</f>
        <v>880615</v>
      </c>
      <c r="B172" t="s">
        <v>172</v>
      </c>
    </row>
    <row r="173" spans="1:2">
      <c r="A173" t="str">
        <f>"880616"</f>
        <v>880616</v>
      </c>
      <c r="B173" t="s">
        <v>173</v>
      </c>
    </row>
    <row r="174" spans="1:2">
      <c r="A174" t="str">
        <f>"880618"</f>
        <v>880618</v>
      </c>
      <c r="B174" t="s">
        <v>174</v>
      </c>
    </row>
    <row r="175" spans="1:2">
      <c r="A175" t="str">
        <f>"880619"</f>
        <v>880619</v>
      </c>
      <c r="B175" t="s">
        <v>175</v>
      </c>
    </row>
    <row r="176" spans="1:2">
      <c r="A176" t="str">
        <f>"880620"</f>
        <v>880620</v>
      </c>
      <c r="B176" t="s">
        <v>176</v>
      </c>
    </row>
    <row r="177" spans="1:2">
      <c r="A177" t="str">
        <f>"880621"</f>
        <v>880621</v>
      </c>
      <c r="B177" t="s">
        <v>177</v>
      </c>
    </row>
    <row r="178" spans="1:2">
      <c r="A178" t="str">
        <f>"880622"</f>
        <v>880622</v>
      </c>
      <c r="B178" t="s">
        <v>178</v>
      </c>
    </row>
    <row r="179" spans="1:2">
      <c r="A179" t="str">
        <f>"880623"</f>
        <v>880623</v>
      </c>
      <c r="B179" t="s">
        <v>179</v>
      </c>
    </row>
    <row r="180" spans="1:2">
      <c r="A180" t="str">
        <f>"880624"</f>
        <v>880624</v>
      </c>
      <c r="B180" t="s">
        <v>180</v>
      </c>
    </row>
    <row r="181" spans="1:2">
      <c r="A181" t="str">
        <f>"880625"</f>
        <v>880625</v>
      </c>
      <c r="B181" t="s">
        <v>181</v>
      </c>
    </row>
    <row r="182" spans="1:2">
      <c r="A182" t="str">
        <f>"880626"</f>
        <v>880626</v>
      </c>
      <c r="B182" t="s">
        <v>182</v>
      </c>
    </row>
    <row r="183" spans="1:2">
      <c r="A183" t="str">
        <f>"880627"</f>
        <v>880627</v>
      </c>
      <c r="B183" t="s">
        <v>183</v>
      </c>
    </row>
    <row r="184" spans="1:2">
      <c r="A184" t="str">
        <f>"880628"</f>
        <v>880628</v>
      </c>
      <c r="B184" t="s">
        <v>184</v>
      </c>
    </row>
    <row r="185" spans="1:2">
      <c r="A185" t="str">
        <f>"880629"</f>
        <v>880629</v>
      </c>
      <c r="B185" t="s">
        <v>185</v>
      </c>
    </row>
    <row r="186" spans="1:2">
      <c r="A186" t="str">
        <f>"880630"</f>
        <v>880630</v>
      </c>
      <c r="B186" t="s">
        <v>186</v>
      </c>
    </row>
    <row r="187" spans="1:2">
      <c r="A187" t="str">
        <f>"880631"</f>
        <v>880631</v>
      </c>
      <c r="B187" t="s">
        <v>187</v>
      </c>
    </row>
    <row r="188" spans="1:2">
      <c r="A188" t="str">
        <f>"880632"</f>
        <v>880632</v>
      </c>
      <c r="B188" t="s">
        <v>188</v>
      </c>
    </row>
    <row r="189" spans="1:2">
      <c r="A189" t="str">
        <f>"880633"</f>
        <v>880633</v>
      </c>
      <c r="B189" t="s">
        <v>189</v>
      </c>
    </row>
    <row r="190" spans="1:2">
      <c r="A190" t="str">
        <f>"880634"</f>
        <v>880634</v>
      </c>
      <c r="B190" t="s">
        <v>190</v>
      </c>
    </row>
    <row r="191" spans="1:2">
      <c r="A191" t="str">
        <f>"880635"</f>
        <v>880635</v>
      </c>
      <c r="B191" t="s">
        <v>191</v>
      </c>
    </row>
    <row r="192" spans="1:2">
      <c r="A192" t="str">
        <f>"880636"</f>
        <v>880636</v>
      </c>
      <c r="B192" t="s">
        <v>192</v>
      </c>
    </row>
    <row r="193" spans="1:2">
      <c r="A193" t="str">
        <f>"880637"</f>
        <v>880637</v>
      </c>
      <c r="B193" t="s">
        <v>193</v>
      </c>
    </row>
    <row r="194" spans="1:2">
      <c r="A194" t="str">
        <f>"880638"</f>
        <v>880638</v>
      </c>
      <c r="B194" t="s">
        <v>194</v>
      </c>
    </row>
    <row r="195" spans="1:2">
      <c r="A195" t="str">
        <f>"880639"</f>
        <v>880639</v>
      </c>
      <c r="B195" t="s">
        <v>195</v>
      </c>
    </row>
    <row r="196" spans="1:2">
      <c r="A196" t="str">
        <f>"880642"</f>
        <v>880642</v>
      </c>
      <c r="B196" t="s">
        <v>196</v>
      </c>
    </row>
    <row r="197" spans="1:2">
      <c r="A197" t="str">
        <f>"880643"</f>
        <v>880643</v>
      </c>
      <c r="B197" t="s">
        <v>197</v>
      </c>
    </row>
    <row r="198" spans="1:2">
      <c r="A198" t="str">
        <f>"880644"</f>
        <v>880644</v>
      </c>
      <c r="B198" t="s">
        <v>198</v>
      </c>
    </row>
    <row r="199" spans="1:2">
      <c r="A199" t="str">
        <f>"880645"</f>
        <v>880645</v>
      </c>
      <c r="B199" t="s">
        <v>199</v>
      </c>
    </row>
    <row r="200" spans="1:2">
      <c r="A200" t="str">
        <f>"880646"</f>
        <v>880646</v>
      </c>
      <c r="B200" t="s">
        <v>200</v>
      </c>
    </row>
    <row r="201" spans="1:2">
      <c r="A201" t="str">
        <f>"880647"</f>
        <v>880647</v>
      </c>
      <c r="B201" t="s">
        <v>201</v>
      </c>
    </row>
    <row r="202" spans="1:2">
      <c r="A202" t="str">
        <f>"880649"</f>
        <v>880649</v>
      </c>
      <c r="B202" t="s">
        <v>202</v>
      </c>
    </row>
    <row r="203" spans="1:2">
      <c r="A203" t="str">
        <f>"880650"</f>
        <v>880650</v>
      </c>
      <c r="B203" t="s">
        <v>203</v>
      </c>
    </row>
    <row r="204" spans="1:2">
      <c r="A204" t="str">
        <f>"880651"</f>
        <v>880651</v>
      </c>
      <c r="B204" t="s">
        <v>204</v>
      </c>
    </row>
    <row r="205" spans="1:2">
      <c r="A205" t="str">
        <f>"880652"</f>
        <v>880652</v>
      </c>
      <c r="B205" t="s">
        <v>205</v>
      </c>
    </row>
    <row r="206" spans="1:2">
      <c r="A206" t="str">
        <f>"880654"</f>
        <v>880654</v>
      </c>
      <c r="B206" t="s">
        <v>206</v>
      </c>
    </row>
    <row r="207" spans="1:2">
      <c r="A207" t="str">
        <f>"880655"</f>
        <v>880655</v>
      </c>
      <c r="B207" t="s">
        <v>207</v>
      </c>
    </row>
    <row r="208" spans="1:2">
      <c r="A208" t="str">
        <f>"880656"</f>
        <v>880656</v>
      </c>
      <c r="B208" t="s">
        <v>208</v>
      </c>
    </row>
    <row r="209" spans="1:2">
      <c r="A209" t="str">
        <f>"880657"</f>
        <v>880657</v>
      </c>
      <c r="B209" t="s">
        <v>209</v>
      </c>
    </row>
    <row r="210" spans="1:2">
      <c r="A210" t="str">
        <f>"880658"</f>
        <v>880658</v>
      </c>
      <c r="B210" t="s">
        <v>210</v>
      </c>
    </row>
    <row r="211" spans="1:2">
      <c r="A211" t="str">
        <f>"880659"</f>
        <v>880659</v>
      </c>
      <c r="B211" t="s">
        <v>211</v>
      </c>
    </row>
    <row r="212" spans="1:2">
      <c r="A212" t="str">
        <f>"880660"</f>
        <v>880660</v>
      </c>
      <c r="B212" t="s">
        <v>212</v>
      </c>
    </row>
    <row r="213" spans="1:2">
      <c r="A213" t="str">
        <f>"880661"</f>
        <v>880661</v>
      </c>
      <c r="B213" t="s">
        <v>213</v>
      </c>
    </row>
    <row r="214" spans="1:2">
      <c r="A214" t="str">
        <f>"880662"</f>
        <v>880662</v>
      </c>
      <c r="B214" t="s">
        <v>214</v>
      </c>
    </row>
    <row r="215" spans="1:2">
      <c r="A215" t="str">
        <f>"880663"</f>
        <v>880663</v>
      </c>
      <c r="B215" t="s">
        <v>215</v>
      </c>
    </row>
    <row r="216" spans="1:2">
      <c r="A216" t="str">
        <f>"880664"</f>
        <v>880664</v>
      </c>
      <c r="B216" t="s">
        <v>216</v>
      </c>
    </row>
    <row r="217" spans="1:2">
      <c r="A217" t="str">
        <f>"880665"</f>
        <v>880665</v>
      </c>
      <c r="B217" t="s">
        <v>217</v>
      </c>
    </row>
    <row r="218" spans="1:2">
      <c r="A218" t="str">
        <f>"880666"</f>
        <v>880666</v>
      </c>
      <c r="B218" t="s">
        <v>218</v>
      </c>
    </row>
    <row r="219" spans="1:2">
      <c r="A219" t="str">
        <f>"880667"</f>
        <v>880667</v>
      </c>
      <c r="B219" t="s">
        <v>219</v>
      </c>
    </row>
    <row r="220" spans="1:2">
      <c r="A220" t="str">
        <f>"880668"</f>
        <v>880668</v>
      </c>
      <c r="B220" t="s">
        <v>220</v>
      </c>
    </row>
    <row r="221" spans="1:2">
      <c r="A221" t="str">
        <f>"880669"</f>
        <v>880669</v>
      </c>
      <c r="B221" t="s">
        <v>221</v>
      </c>
    </row>
    <row r="222" spans="1:2">
      <c r="A222" t="str">
        <f>"880670"</f>
        <v>880670</v>
      </c>
      <c r="B222" t="s">
        <v>222</v>
      </c>
    </row>
    <row r="223" spans="1:2">
      <c r="A223" t="str">
        <f>"880671"</f>
        <v>880671</v>
      </c>
      <c r="B223" t="s">
        <v>223</v>
      </c>
    </row>
    <row r="224" spans="1:2">
      <c r="A224" t="str">
        <f>"880672"</f>
        <v>880672</v>
      </c>
      <c r="B224" t="s">
        <v>224</v>
      </c>
    </row>
    <row r="225" spans="1:2">
      <c r="A225" t="str">
        <f>"880673"</f>
        <v>880673</v>
      </c>
      <c r="B225" t="s">
        <v>225</v>
      </c>
    </row>
    <row r="226" spans="1:2">
      <c r="A226" t="str">
        <f>"880674"</f>
        <v>880674</v>
      </c>
      <c r="B226" t="s">
        <v>226</v>
      </c>
    </row>
    <row r="227" spans="1:2">
      <c r="A227" t="str">
        <f>"880702"</f>
        <v>880702</v>
      </c>
      <c r="B227" t="s">
        <v>227</v>
      </c>
    </row>
    <row r="228" spans="1:2">
      <c r="A228" t="str">
        <f>"880704"</f>
        <v>880704</v>
      </c>
      <c r="B228" t="s">
        <v>228</v>
      </c>
    </row>
    <row r="229" spans="1:2">
      <c r="A229" t="str">
        <f>"880705"</f>
        <v>880705</v>
      </c>
      <c r="B229" t="s">
        <v>229</v>
      </c>
    </row>
    <row r="230" spans="1:2">
      <c r="A230" t="str">
        <f>"880706"</f>
        <v>880706</v>
      </c>
      <c r="B230" t="s">
        <v>230</v>
      </c>
    </row>
    <row r="231" spans="1:2">
      <c r="A231" t="str">
        <f>"880708"</f>
        <v>880708</v>
      </c>
      <c r="B231" t="s">
        <v>231</v>
      </c>
    </row>
    <row r="232" spans="1:2">
      <c r="A232" t="str">
        <f>"880709"</f>
        <v>880709</v>
      </c>
      <c r="B232" t="s">
        <v>232</v>
      </c>
    </row>
    <row r="233" spans="1:2">
      <c r="A233" t="str">
        <f>"880710"</f>
        <v>880710</v>
      </c>
      <c r="B233" t="s">
        <v>233</v>
      </c>
    </row>
    <row r="234" spans="1:2">
      <c r="A234" t="str">
        <f>"880711"</f>
        <v>880711</v>
      </c>
      <c r="B234" t="s">
        <v>234</v>
      </c>
    </row>
    <row r="235" spans="1:2">
      <c r="A235" t="str">
        <f>"880713"</f>
        <v>880713</v>
      </c>
      <c r="B235" t="s">
        <v>235</v>
      </c>
    </row>
    <row r="236" spans="1:2">
      <c r="A236" t="str">
        <f>"880714"</f>
        <v>880714</v>
      </c>
      <c r="B236" t="s">
        <v>236</v>
      </c>
    </row>
    <row r="237" spans="1:2">
      <c r="A237" t="str">
        <f>"880715"</f>
        <v>880715</v>
      </c>
      <c r="B237" t="s">
        <v>237</v>
      </c>
    </row>
    <row r="238" spans="1:2">
      <c r="A238" t="str">
        <f>"880716"</f>
        <v>880716</v>
      </c>
      <c r="B238" t="s">
        <v>238</v>
      </c>
    </row>
    <row r="239" spans="1:2">
      <c r="A239" t="str">
        <f>"880717"</f>
        <v>880717</v>
      </c>
      <c r="B239" t="s">
        <v>239</v>
      </c>
    </row>
    <row r="240" spans="1:2">
      <c r="A240" t="str">
        <f>"880718"</f>
        <v>880718</v>
      </c>
      <c r="B240" t="s">
        <v>240</v>
      </c>
    </row>
    <row r="241" spans="1:2">
      <c r="A241" t="str">
        <f>"880719"</f>
        <v>880719</v>
      </c>
      <c r="B241" t="s">
        <v>241</v>
      </c>
    </row>
    <row r="242" spans="1:2">
      <c r="A242" t="str">
        <f>"880720"</f>
        <v>880720</v>
      </c>
      <c r="B242" t="s">
        <v>242</v>
      </c>
    </row>
    <row r="243" spans="1:2">
      <c r="A243" t="str">
        <f>"880721"</f>
        <v>880721</v>
      </c>
      <c r="B243" t="s">
        <v>243</v>
      </c>
    </row>
    <row r="244" spans="1:2">
      <c r="A244" t="str">
        <f>"880722"</f>
        <v>880722</v>
      </c>
      <c r="B244" t="s">
        <v>244</v>
      </c>
    </row>
    <row r="245" spans="1:2">
      <c r="A245" t="str">
        <f>"880723"</f>
        <v>880723</v>
      </c>
      <c r="B245" t="s">
        <v>245</v>
      </c>
    </row>
    <row r="246" spans="1:2">
      <c r="A246" t="str">
        <f>"880724"</f>
        <v>880724</v>
      </c>
      <c r="B246" t="s">
        <v>246</v>
      </c>
    </row>
    <row r="247" spans="1:2">
      <c r="A247" t="str">
        <f>"880725"</f>
        <v>880725</v>
      </c>
      <c r="B247" t="s">
        <v>247</v>
      </c>
    </row>
    <row r="248" spans="1:2">
      <c r="A248" t="str">
        <f>"880726"</f>
        <v>880726</v>
      </c>
      <c r="B248" t="s">
        <v>248</v>
      </c>
    </row>
    <row r="249" spans="1:2">
      <c r="A249" t="str">
        <f>"880727"</f>
        <v>880727</v>
      </c>
      <c r="B249" t="s">
        <v>249</v>
      </c>
    </row>
    <row r="250" spans="1:2">
      <c r="A250" t="str">
        <f>"880728"</f>
        <v>880728</v>
      </c>
      <c r="B250" t="s">
        <v>250</v>
      </c>
    </row>
    <row r="251" spans="1:2">
      <c r="A251" t="str">
        <f>"880729"</f>
        <v>880729</v>
      </c>
      <c r="B251" t="s">
        <v>251</v>
      </c>
    </row>
    <row r="252" spans="1:2">
      <c r="A252" t="str">
        <f>"880730"</f>
        <v>880730</v>
      </c>
      <c r="B252" t="s">
        <v>252</v>
      </c>
    </row>
    <row r="253" spans="1:2">
      <c r="A253" t="str">
        <f>"880731"</f>
        <v>880731</v>
      </c>
      <c r="B253" t="s">
        <v>253</v>
      </c>
    </row>
    <row r="254" spans="1:2">
      <c r="A254" t="str">
        <f>"880733"</f>
        <v>880733</v>
      </c>
      <c r="B254" t="s">
        <v>254</v>
      </c>
    </row>
    <row r="255" spans="1:2">
      <c r="A255" t="str">
        <f>"880734"</f>
        <v>880734</v>
      </c>
      <c r="B255" t="s">
        <v>255</v>
      </c>
    </row>
    <row r="256" spans="1:8">
      <c r="A256" t="str">
        <f>"880735"</f>
        <v>880735</v>
      </c>
      <c r="B256" t="s">
        <v>256</v>
      </c>
      <c r="C256"/>
      <c r="D256"/>
      <c r="E256"/>
      <c r="F256"/>
      <c r="G256"/>
      <c r="H256" s="1"/>
    </row>
    <row r="257" spans="1:2">
      <c r="A257" t="str">
        <f>"880736"</f>
        <v>880736</v>
      </c>
      <c r="B257" t="s">
        <v>257</v>
      </c>
    </row>
    <row r="258" spans="1:2">
      <c r="A258" t="str">
        <f>"880737"</f>
        <v>880737</v>
      </c>
      <c r="B258" t="s">
        <v>258</v>
      </c>
    </row>
    <row r="259" spans="1:2">
      <c r="A259" t="str">
        <f>"880738"</f>
        <v>880738</v>
      </c>
      <c r="B259" t="s">
        <v>259</v>
      </c>
    </row>
    <row r="260" spans="1:2">
      <c r="A260" t="str">
        <f>"880739"</f>
        <v>880739</v>
      </c>
      <c r="B260" t="s">
        <v>260</v>
      </c>
    </row>
    <row r="261" spans="1:2">
      <c r="A261" t="str">
        <f>"880740"</f>
        <v>880740</v>
      </c>
      <c r="B261" t="s">
        <v>261</v>
      </c>
    </row>
    <row r="262" spans="1:2">
      <c r="A262" t="str">
        <f>"880741"</f>
        <v>880741</v>
      </c>
      <c r="B262" t="s">
        <v>262</v>
      </c>
    </row>
    <row r="263" spans="1:2">
      <c r="A263" t="str">
        <f>"880742"</f>
        <v>880742</v>
      </c>
      <c r="B263" t="s">
        <v>263</v>
      </c>
    </row>
    <row r="264" spans="1:2">
      <c r="A264" t="str">
        <f>"880743"</f>
        <v>880743</v>
      </c>
      <c r="B264" t="s">
        <v>264</v>
      </c>
    </row>
    <row r="265" spans="1:2">
      <c r="A265" t="str">
        <f>"880744"</f>
        <v>880744</v>
      </c>
      <c r="B265" t="s">
        <v>265</v>
      </c>
    </row>
    <row r="266" spans="1:2">
      <c r="A266" t="str">
        <f>"880745"</f>
        <v>880745</v>
      </c>
      <c r="B266" t="s">
        <v>266</v>
      </c>
    </row>
    <row r="267" spans="1:2">
      <c r="A267" t="str">
        <f>"880746"</f>
        <v>880746</v>
      </c>
      <c r="B267" t="s">
        <v>267</v>
      </c>
    </row>
    <row r="268" spans="1:2">
      <c r="A268" t="str">
        <f>"880748"</f>
        <v>880748</v>
      </c>
      <c r="B268" t="s">
        <v>268</v>
      </c>
    </row>
    <row r="269" spans="1:2">
      <c r="A269" t="str">
        <f>"880749"</f>
        <v>880749</v>
      </c>
      <c r="B269" t="s">
        <v>269</v>
      </c>
    </row>
    <row r="270" spans="1:2">
      <c r="A270" t="str">
        <f>"880750"</f>
        <v>880750</v>
      </c>
      <c r="B270" t="s">
        <v>270</v>
      </c>
    </row>
    <row r="271" spans="1:2">
      <c r="A271" t="str">
        <f>"880753"</f>
        <v>880753</v>
      </c>
      <c r="B271" t="s">
        <v>271</v>
      </c>
    </row>
    <row r="272" spans="1:2">
      <c r="A272" t="str">
        <f>"880754"</f>
        <v>880754</v>
      </c>
      <c r="B272" t="s">
        <v>272</v>
      </c>
    </row>
    <row r="273" spans="1:2">
      <c r="A273" t="str">
        <f>"880755"</f>
        <v>880755</v>
      </c>
      <c r="B273" t="s">
        <v>273</v>
      </c>
    </row>
    <row r="274" spans="1:2">
      <c r="A274" t="str">
        <f>"880756"</f>
        <v>880756</v>
      </c>
      <c r="B274" t="s">
        <v>274</v>
      </c>
    </row>
    <row r="275" spans="1:2">
      <c r="A275" t="str">
        <f>"880757"</f>
        <v>880757</v>
      </c>
      <c r="B275" t="s">
        <v>275</v>
      </c>
    </row>
    <row r="276" spans="1:2">
      <c r="A276" t="str">
        <f>"880758"</f>
        <v>880758</v>
      </c>
      <c r="B276" t="s">
        <v>276</v>
      </c>
    </row>
    <row r="277" spans="1:2">
      <c r="A277" t="str">
        <f>"880759"</f>
        <v>880759</v>
      </c>
      <c r="B277" t="s">
        <v>277</v>
      </c>
    </row>
    <row r="278" spans="1:2">
      <c r="A278" t="str">
        <f>"880760"</f>
        <v>880760</v>
      </c>
      <c r="B278" t="s">
        <v>278</v>
      </c>
    </row>
    <row r="279" spans="1:2">
      <c r="A279" t="str">
        <f>"880761"</f>
        <v>880761</v>
      </c>
      <c r="B279" t="s">
        <v>279</v>
      </c>
    </row>
    <row r="280" spans="1:8">
      <c r="A280" t="str">
        <f>"880762"</f>
        <v>880762</v>
      </c>
      <c r="B280" t="s">
        <v>280</v>
      </c>
      <c r="C280"/>
      <c r="D280"/>
      <c r="E280"/>
      <c r="F280"/>
      <c r="G280"/>
      <c r="H280" s="1"/>
    </row>
    <row r="281" spans="1:2">
      <c r="A281" t="str">
        <f>"880764"</f>
        <v>880764</v>
      </c>
      <c r="B281" t="s">
        <v>281</v>
      </c>
    </row>
    <row r="282" spans="1:2">
      <c r="A282" t="str">
        <f>"880766"</f>
        <v>880766</v>
      </c>
      <c r="B282" t="s">
        <v>282</v>
      </c>
    </row>
    <row r="283" spans="1:2">
      <c r="A283" t="str">
        <f>"880767"</f>
        <v>880767</v>
      </c>
      <c r="B283" t="s">
        <v>283</v>
      </c>
    </row>
    <row r="284" spans="1:2">
      <c r="A284" t="str">
        <f>"880768"</f>
        <v>880768</v>
      </c>
      <c r="B284" t="s">
        <v>284</v>
      </c>
    </row>
    <row r="285" spans="1:2">
      <c r="A285" t="str">
        <f>"880769"</f>
        <v>880769</v>
      </c>
      <c r="B285" t="s">
        <v>285</v>
      </c>
    </row>
    <row r="286" spans="1:8">
      <c r="A286" t="str">
        <f>"880771"</f>
        <v>880771</v>
      </c>
      <c r="B286" t="s">
        <v>286</v>
      </c>
      <c r="C286"/>
      <c r="D286"/>
      <c r="E286"/>
      <c r="F286"/>
      <c r="G286"/>
      <c r="H286" s="1"/>
    </row>
    <row r="287" spans="1:2">
      <c r="A287" t="str">
        <f>"880778"</f>
        <v>880778</v>
      </c>
      <c r="B287" t="s">
        <v>287</v>
      </c>
    </row>
    <row r="288" spans="1:2">
      <c r="A288" t="str">
        <f>"880779"</f>
        <v>880779</v>
      </c>
      <c r="B288" t="s">
        <v>288</v>
      </c>
    </row>
    <row r="289" spans="1:2">
      <c r="A289" t="str">
        <f>"880780"</f>
        <v>880780</v>
      </c>
      <c r="B289" t="s">
        <v>289</v>
      </c>
    </row>
    <row r="290" spans="1:8">
      <c r="A290" t="str">
        <f>"880781"</f>
        <v>880781</v>
      </c>
      <c r="B290" t="s">
        <v>290</v>
      </c>
      <c r="C290"/>
      <c r="D290"/>
      <c r="E290"/>
      <c r="F290"/>
      <c r="G290"/>
      <c r="H290" s="1"/>
    </row>
    <row r="291" spans="1:2">
      <c r="A291" t="str">
        <f>"880782"</f>
        <v>880782</v>
      </c>
      <c r="B291" t="s">
        <v>291</v>
      </c>
    </row>
    <row r="292" spans="1:2">
      <c r="A292" t="str">
        <f>"880783"</f>
        <v>880783</v>
      </c>
      <c r="B292" t="s">
        <v>292</v>
      </c>
    </row>
    <row r="293" spans="1:2">
      <c r="A293" t="str">
        <f>"880786"</f>
        <v>880786</v>
      </c>
      <c r="B293" t="s">
        <v>293</v>
      </c>
    </row>
    <row r="294" spans="1:2">
      <c r="A294" t="str">
        <f>"880787"</f>
        <v>880787</v>
      </c>
      <c r="B294" t="s">
        <v>294</v>
      </c>
    </row>
    <row r="295" spans="1:2">
      <c r="A295" t="str">
        <f>"880790"</f>
        <v>880790</v>
      </c>
      <c r="B295" t="s">
        <v>295</v>
      </c>
    </row>
    <row r="296" spans="1:2">
      <c r="A296" t="str">
        <f>"880791"</f>
        <v>880791</v>
      </c>
      <c r="B296" t="s">
        <v>296</v>
      </c>
    </row>
    <row r="297" spans="1:2">
      <c r="A297" t="str">
        <f>"880792"</f>
        <v>880792</v>
      </c>
      <c r="B297" t="s">
        <v>297</v>
      </c>
    </row>
    <row r="298" spans="1:2">
      <c r="A298" t="str">
        <f>"880793"</f>
        <v>880793</v>
      </c>
      <c r="B298" t="s">
        <v>298</v>
      </c>
    </row>
    <row r="299" spans="1:2">
      <c r="A299" t="str">
        <f>"880794"</f>
        <v>880794</v>
      </c>
      <c r="B299" t="s">
        <v>299</v>
      </c>
    </row>
    <row r="300" spans="1:2">
      <c r="A300" t="str">
        <f>"880795"</f>
        <v>880795</v>
      </c>
      <c r="B300" t="s">
        <v>300</v>
      </c>
    </row>
    <row r="301" spans="1:2">
      <c r="A301" t="str">
        <f>"880796"</f>
        <v>880796</v>
      </c>
      <c r="B301" t="s">
        <v>301</v>
      </c>
    </row>
    <row r="302" spans="1:2">
      <c r="A302" t="str">
        <f>"880797"</f>
        <v>880797</v>
      </c>
      <c r="B302" t="s">
        <v>302</v>
      </c>
    </row>
    <row r="303" spans="1:2">
      <c r="A303" t="str">
        <f>"880798"</f>
        <v>880798</v>
      </c>
      <c r="B303" t="s">
        <v>303</v>
      </c>
    </row>
    <row r="304" spans="1:2">
      <c r="A304" t="str">
        <f>"880799"</f>
        <v>880799</v>
      </c>
      <c r="B304" t="s">
        <v>304</v>
      </c>
    </row>
    <row r="305" spans="1:2">
      <c r="A305" t="str">
        <f>"880800"</f>
        <v>880800</v>
      </c>
      <c r="B305" t="s">
        <v>305</v>
      </c>
    </row>
    <row r="306" spans="1:2">
      <c r="A306" t="str">
        <f>"880801"</f>
        <v>880801</v>
      </c>
      <c r="B306" t="s">
        <v>306</v>
      </c>
    </row>
    <row r="307" spans="1:2">
      <c r="A307" t="str">
        <f>"880802"</f>
        <v>880802</v>
      </c>
      <c r="B307" t="s">
        <v>307</v>
      </c>
    </row>
    <row r="308" spans="1:2">
      <c r="A308" t="str">
        <f>"880803"</f>
        <v>880803</v>
      </c>
      <c r="B308" t="s">
        <v>308</v>
      </c>
    </row>
    <row r="309" spans="1:2">
      <c r="A309" t="str">
        <f>"880804"</f>
        <v>880804</v>
      </c>
      <c r="B309" t="s">
        <v>309</v>
      </c>
    </row>
    <row r="310" spans="1:2">
      <c r="A310" t="str">
        <f>"880805"</f>
        <v>880805</v>
      </c>
      <c r="B310" t="s">
        <v>310</v>
      </c>
    </row>
    <row r="311" spans="1:2">
      <c r="A311" t="str">
        <f>"880806"</f>
        <v>880806</v>
      </c>
      <c r="B311" t="s">
        <v>311</v>
      </c>
    </row>
    <row r="312" spans="1:2">
      <c r="A312" t="str">
        <f>"880807"</f>
        <v>880807</v>
      </c>
      <c r="B312" t="s">
        <v>312</v>
      </c>
    </row>
    <row r="313" spans="1:2">
      <c r="A313" t="str">
        <f>"880808"</f>
        <v>880808</v>
      </c>
      <c r="B313" t="s">
        <v>313</v>
      </c>
    </row>
    <row r="314" spans="1:2">
      <c r="A314" t="str">
        <f>"880809"</f>
        <v>880809</v>
      </c>
      <c r="B314" t="s">
        <v>314</v>
      </c>
    </row>
    <row r="315" spans="1:2">
      <c r="A315" t="str">
        <f>"880810"</f>
        <v>880810</v>
      </c>
      <c r="B315" t="s">
        <v>315</v>
      </c>
    </row>
    <row r="316" spans="1:2">
      <c r="A316" t="str">
        <f>"880811"</f>
        <v>880811</v>
      </c>
      <c r="B316" t="s">
        <v>316</v>
      </c>
    </row>
    <row r="317" spans="1:2">
      <c r="A317" t="str">
        <f>"880813"</f>
        <v>880813</v>
      </c>
      <c r="B317" t="s">
        <v>317</v>
      </c>
    </row>
    <row r="318" spans="1:2">
      <c r="A318" t="str">
        <f>"880814"</f>
        <v>880814</v>
      </c>
      <c r="B318" t="s">
        <v>318</v>
      </c>
    </row>
    <row r="319" spans="1:8">
      <c r="A319" t="str">
        <f>"880815"</f>
        <v>880815</v>
      </c>
      <c r="B319" t="s">
        <v>319</v>
      </c>
      <c r="C319"/>
      <c r="D319"/>
      <c r="E319"/>
      <c r="F319"/>
      <c r="G319"/>
      <c r="H319" s="1"/>
    </row>
    <row r="320" spans="1:2">
      <c r="A320" t="str">
        <f>"880816"</f>
        <v>880816</v>
      </c>
      <c r="B320" t="s">
        <v>320</v>
      </c>
    </row>
    <row r="321" spans="1:8">
      <c r="A321" t="str">
        <f>"880817"</f>
        <v>880817</v>
      </c>
      <c r="B321" t="s">
        <v>321</v>
      </c>
      <c r="C321"/>
      <c r="D321"/>
      <c r="E321"/>
      <c r="F321"/>
      <c r="G321"/>
      <c r="H321" s="1"/>
    </row>
    <row r="322" spans="1:8">
      <c r="A322" t="str">
        <f>"880821"</f>
        <v>880821</v>
      </c>
      <c r="B322" t="s">
        <v>322</v>
      </c>
      <c r="C322"/>
      <c r="D322"/>
      <c r="E322"/>
      <c r="F322"/>
      <c r="G322"/>
      <c r="H322" s="1"/>
    </row>
    <row r="323" spans="1:2">
      <c r="A323" t="str">
        <f>"880823"</f>
        <v>880823</v>
      </c>
      <c r="B323" t="s">
        <v>323</v>
      </c>
    </row>
    <row r="324" spans="1:2">
      <c r="A324" t="str">
        <f>"880824"</f>
        <v>880824</v>
      </c>
      <c r="B324" t="s">
        <v>324</v>
      </c>
    </row>
    <row r="325" spans="1:2">
      <c r="A325" t="str">
        <f>"880825"</f>
        <v>880825</v>
      </c>
      <c r="B325" t="s">
        <v>325</v>
      </c>
    </row>
    <row r="326" spans="1:8">
      <c r="A326" t="str">
        <f>"880826"</f>
        <v>880826</v>
      </c>
      <c r="B326" t="s">
        <v>326</v>
      </c>
      <c r="C326"/>
      <c r="D326"/>
      <c r="E326"/>
      <c r="F326"/>
      <c r="G326"/>
      <c r="H326" s="1"/>
    </row>
    <row r="327" spans="1:2">
      <c r="A327" t="str">
        <f>"880827"</f>
        <v>880827</v>
      </c>
      <c r="B327" t="s">
        <v>327</v>
      </c>
    </row>
    <row r="328" spans="1:8">
      <c r="A328" t="str">
        <f>"880829"</f>
        <v>880829</v>
      </c>
      <c r="B328" t="s">
        <v>328</v>
      </c>
      <c r="C328"/>
      <c r="D328"/>
      <c r="E328"/>
      <c r="F328"/>
      <c r="G328"/>
      <c r="H328" s="1"/>
    </row>
    <row r="329" spans="1:2">
      <c r="A329" t="str">
        <f>"880833"</f>
        <v>880833</v>
      </c>
      <c r="B329" t="s">
        <v>329</v>
      </c>
    </row>
    <row r="330" spans="1:2">
      <c r="A330" t="str">
        <f>"880834"</f>
        <v>880834</v>
      </c>
      <c r="B330" t="s">
        <v>330</v>
      </c>
    </row>
    <row r="331" spans="1:2">
      <c r="A331" t="str">
        <f>"880835"</f>
        <v>880835</v>
      </c>
      <c r="B331" t="s">
        <v>331</v>
      </c>
    </row>
    <row r="332" spans="1:2">
      <c r="A332" t="str">
        <f>"880836"</f>
        <v>880836</v>
      </c>
      <c r="B332" t="s">
        <v>332</v>
      </c>
    </row>
    <row r="333" spans="1:2">
      <c r="A333" t="str">
        <f>"880837"</f>
        <v>880837</v>
      </c>
      <c r="B333" t="s">
        <v>333</v>
      </c>
    </row>
    <row r="334" spans="1:2">
      <c r="A334" t="str">
        <f>"880842"</f>
        <v>880842</v>
      </c>
      <c r="B334" t="s">
        <v>334</v>
      </c>
    </row>
    <row r="335" spans="1:2">
      <c r="A335" t="str">
        <f>"880843"</f>
        <v>880843</v>
      </c>
      <c r="B335" t="s">
        <v>335</v>
      </c>
    </row>
    <row r="336" spans="1:2">
      <c r="A336" t="str">
        <f>"880844"</f>
        <v>880844</v>
      </c>
      <c r="B336" t="s">
        <v>336</v>
      </c>
    </row>
    <row r="337" spans="1:8">
      <c r="A337" t="str">
        <f>"880845"</f>
        <v>880845</v>
      </c>
      <c r="B337" t="s">
        <v>337</v>
      </c>
      <c r="C337"/>
      <c r="D337"/>
      <c r="E337"/>
      <c r="F337"/>
      <c r="G337"/>
      <c r="H337" s="1"/>
    </row>
    <row r="338" spans="1:8">
      <c r="A338" t="str">
        <f>"880846"</f>
        <v>880846</v>
      </c>
      <c r="B338" t="s">
        <v>338</v>
      </c>
      <c r="C338"/>
      <c r="D338"/>
      <c r="E338"/>
      <c r="F338"/>
      <c r="G338"/>
      <c r="H338" s="1"/>
    </row>
    <row r="339" spans="1:2">
      <c r="A339" t="str">
        <f>"880847"</f>
        <v>880847</v>
      </c>
      <c r="B339" t="s">
        <v>339</v>
      </c>
    </row>
    <row r="340" spans="1:2">
      <c r="A340" t="str">
        <f>"880848"</f>
        <v>880848</v>
      </c>
      <c r="B340" t="s">
        <v>340</v>
      </c>
    </row>
    <row r="341" spans="1:2">
      <c r="A341" t="str">
        <f>"880849"</f>
        <v>880849</v>
      </c>
      <c r="B341" t="s">
        <v>341</v>
      </c>
    </row>
    <row r="342" spans="1:2">
      <c r="A342" t="str">
        <f>"880850"</f>
        <v>880850</v>
      </c>
      <c r="B342" t="s">
        <v>342</v>
      </c>
    </row>
    <row r="343" spans="1:2">
      <c r="A343" t="str">
        <f>"880851"</f>
        <v>880851</v>
      </c>
      <c r="B343" t="s">
        <v>343</v>
      </c>
    </row>
    <row r="344" spans="1:2">
      <c r="A344" t="str">
        <f>"880852"</f>
        <v>880852</v>
      </c>
      <c r="B344" t="s">
        <v>344</v>
      </c>
    </row>
    <row r="345" spans="1:2">
      <c r="A345" t="str">
        <f>"880853"</f>
        <v>880853</v>
      </c>
      <c r="B345" t="s">
        <v>345</v>
      </c>
    </row>
    <row r="346" spans="1:2">
      <c r="A346" t="str">
        <f>"880854"</f>
        <v>880854</v>
      </c>
      <c r="B346" t="s">
        <v>346</v>
      </c>
    </row>
    <row r="347" spans="1:2">
      <c r="A347" t="str">
        <f>"880856"</f>
        <v>880856</v>
      </c>
      <c r="B347" t="s">
        <v>347</v>
      </c>
    </row>
    <row r="348" spans="1:8">
      <c r="A348" t="str">
        <f>"880857"</f>
        <v>880857</v>
      </c>
      <c r="B348" t="s">
        <v>348</v>
      </c>
      <c r="C348"/>
      <c r="D348"/>
      <c r="E348"/>
      <c r="F348"/>
      <c r="G348"/>
      <c r="H348" s="1"/>
    </row>
    <row r="349" spans="1:2">
      <c r="A349" t="str">
        <f>"880858"</f>
        <v>880858</v>
      </c>
      <c r="B349" t="s">
        <v>349</v>
      </c>
    </row>
    <row r="350" spans="1:2">
      <c r="A350" t="str">
        <f>"880859"</f>
        <v>880859</v>
      </c>
      <c r="B350" t="s">
        <v>350</v>
      </c>
    </row>
    <row r="351" spans="1:2">
      <c r="A351" t="str">
        <f>"880860"</f>
        <v>880860</v>
      </c>
      <c r="B351" t="s">
        <v>351</v>
      </c>
    </row>
    <row r="352" spans="1:8">
      <c r="A352" t="str">
        <f>"880861"</f>
        <v>880861</v>
      </c>
      <c r="B352" t="s">
        <v>352</v>
      </c>
      <c r="C352"/>
      <c r="D352"/>
      <c r="E352"/>
      <c r="F352"/>
      <c r="G352"/>
      <c r="H352" s="1"/>
    </row>
    <row r="353" spans="1:2">
      <c r="A353" t="str">
        <f>"880865"</f>
        <v>880865</v>
      </c>
      <c r="B353" t="s">
        <v>353</v>
      </c>
    </row>
    <row r="354" spans="1:8">
      <c r="A354" t="str">
        <f>"880866"</f>
        <v>880866</v>
      </c>
      <c r="B354" t="s">
        <v>354</v>
      </c>
      <c r="C354"/>
      <c r="D354"/>
      <c r="E354"/>
      <c r="F354"/>
      <c r="G354"/>
      <c r="H354" s="1"/>
    </row>
    <row r="355" spans="1:2">
      <c r="A355" t="str">
        <f>"880868"</f>
        <v>880868</v>
      </c>
      <c r="B355" t="s">
        <v>355</v>
      </c>
    </row>
    <row r="356" spans="1:2">
      <c r="A356" t="str">
        <f>"880869"</f>
        <v>880869</v>
      </c>
      <c r="B356" t="s">
        <v>356</v>
      </c>
    </row>
    <row r="357" spans="1:8">
      <c r="A357" t="str">
        <f>"880870"</f>
        <v>880870</v>
      </c>
      <c r="B357" t="s">
        <v>357</v>
      </c>
      <c r="C357"/>
      <c r="D357"/>
      <c r="E357"/>
      <c r="F357"/>
      <c r="G357"/>
      <c r="H357" s="1"/>
    </row>
    <row r="358" spans="1:2">
      <c r="A358" t="str">
        <f>"880871"</f>
        <v>880871</v>
      </c>
      <c r="B358" t="s">
        <v>358</v>
      </c>
    </row>
    <row r="359" spans="1:2">
      <c r="A359" t="str">
        <f>"880872"</f>
        <v>880872</v>
      </c>
      <c r="B359" t="s">
        <v>359</v>
      </c>
    </row>
    <row r="360" spans="1:2">
      <c r="A360" t="str">
        <f>"880873"</f>
        <v>880873</v>
      </c>
      <c r="B360" t="s">
        <v>360</v>
      </c>
    </row>
    <row r="361" spans="1:2">
      <c r="A361" t="str">
        <f>"880875"</f>
        <v>880875</v>
      </c>
      <c r="B361" t="s">
        <v>361</v>
      </c>
    </row>
    <row r="362" spans="1:2">
      <c r="A362" t="str">
        <f>"880876"</f>
        <v>880876</v>
      </c>
      <c r="B362" t="s">
        <v>362</v>
      </c>
    </row>
    <row r="363" spans="1:2">
      <c r="A363" t="str">
        <f>"880877"</f>
        <v>880877</v>
      </c>
      <c r="B363" t="s">
        <v>363</v>
      </c>
    </row>
    <row r="364" spans="1:2">
      <c r="A364" t="str">
        <f>"880878"</f>
        <v>880878</v>
      </c>
      <c r="B364" t="s">
        <v>364</v>
      </c>
    </row>
    <row r="365" spans="1:8">
      <c r="A365" t="str">
        <f>"880879"</f>
        <v>880879</v>
      </c>
      <c r="B365" t="s">
        <v>365</v>
      </c>
      <c r="C365"/>
      <c r="D365"/>
      <c r="E365"/>
      <c r="F365"/>
      <c r="G365"/>
      <c r="H365" s="1"/>
    </row>
    <row r="366" spans="1:2">
      <c r="A366" t="str">
        <f>"880880"</f>
        <v>880880</v>
      </c>
      <c r="B366" t="s">
        <v>366</v>
      </c>
    </row>
    <row r="367" spans="1:2">
      <c r="A367" t="str">
        <f>"880881"</f>
        <v>880881</v>
      </c>
      <c r="B367" t="s">
        <v>367</v>
      </c>
    </row>
    <row r="368" spans="1:2">
      <c r="A368" t="str">
        <f>"880882"</f>
        <v>880882</v>
      </c>
      <c r="B368" t="s">
        <v>368</v>
      </c>
    </row>
    <row r="369" spans="1:8">
      <c r="A369" t="str">
        <f>"880883"</f>
        <v>880883</v>
      </c>
      <c r="B369" t="s">
        <v>369</v>
      </c>
      <c r="C369"/>
      <c r="D369"/>
      <c r="E369"/>
      <c r="F369"/>
      <c r="G369"/>
      <c r="H369" s="1"/>
    </row>
    <row r="370" spans="1:2">
      <c r="A370" t="str">
        <f>"880885"</f>
        <v>880885</v>
      </c>
      <c r="B370" t="s">
        <v>370</v>
      </c>
    </row>
    <row r="371" spans="1:2">
      <c r="A371" t="str">
        <f>"880887"</f>
        <v>880887</v>
      </c>
      <c r="B371" t="s">
        <v>371</v>
      </c>
    </row>
    <row r="372" spans="1:2">
      <c r="A372" t="str">
        <f>"880889"</f>
        <v>880889</v>
      </c>
      <c r="B372" t="s">
        <v>372</v>
      </c>
    </row>
    <row r="373" spans="1:2">
      <c r="A373" t="str">
        <f>"880890"</f>
        <v>880890</v>
      </c>
      <c r="B373" t="s">
        <v>373</v>
      </c>
    </row>
    <row r="374" spans="1:8">
      <c r="A374" t="str">
        <f>"880891"</f>
        <v>880891</v>
      </c>
      <c r="B374" t="s">
        <v>374</v>
      </c>
      <c r="C374"/>
      <c r="D374"/>
      <c r="E374"/>
      <c r="F374"/>
      <c r="G374"/>
      <c r="H374" s="1"/>
    </row>
    <row r="375" spans="1:2">
      <c r="A375" t="str">
        <f>"880892"</f>
        <v>880892</v>
      </c>
      <c r="B375" t="s">
        <v>375</v>
      </c>
    </row>
    <row r="376" spans="1:2">
      <c r="A376" t="str">
        <f>"880893"</f>
        <v>880893</v>
      </c>
      <c r="B376" t="s">
        <v>376</v>
      </c>
    </row>
    <row r="377" spans="1:2">
      <c r="A377" t="str">
        <f>"880894"</f>
        <v>880894</v>
      </c>
      <c r="B377" t="s">
        <v>377</v>
      </c>
    </row>
    <row r="378" spans="1:2">
      <c r="A378" t="str">
        <f>"880895"</f>
        <v>880895</v>
      </c>
      <c r="B378" t="s">
        <v>378</v>
      </c>
    </row>
    <row r="379" spans="1:2">
      <c r="A379" t="str">
        <f>"880896"</f>
        <v>880896</v>
      </c>
      <c r="B379" t="s">
        <v>379</v>
      </c>
    </row>
    <row r="380" spans="1:8">
      <c r="A380" t="str">
        <f>"880897"</f>
        <v>880897</v>
      </c>
      <c r="B380" t="s">
        <v>380</v>
      </c>
      <c r="C380"/>
      <c r="D380"/>
      <c r="E380"/>
      <c r="F380"/>
      <c r="G380"/>
      <c r="H380" s="1"/>
    </row>
    <row r="381" spans="1:2">
      <c r="A381" t="str">
        <f>"880898"</f>
        <v>880898</v>
      </c>
      <c r="B381" t="s">
        <v>381</v>
      </c>
    </row>
    <row r="382" spans="1:2">
      <c r="A382" t="str">
        <f>"880899"</f>
        <v>880899</v>
      </c>
      <c r="B382" t="s">
        <v>382</v>
      </c>
    </row>
    <row r="383" spans="1:2">
      <c r="A383" t="str">
        <f>"880901"</f>
        <v>880901</v>
      </c>
      <c r="B383" t="s">
        <v>383</v>
      </c>
    </row>
    <row r="384" spans="1:2">
      <c r="A384" t="str">
        <f>"880902"</f>
        <v>880902</v>
      </c>
      <c r="B384" t="s">
        <v>384</v>
      </c>
    </row>
    <row r="385" spans="1:2">
      <c r="A385" t="str">
        <f>"880903"</f>
        <v>880903</v>
      </c>
      <c r="B385" t="s">
        <v>385</v>
      </c>
    </row>
    <row r="386" spans="1:2">
      <c r="A386" t="str">
        <f>"880904"</f>
        <v>880904</v>
      </c>
      <c r="B386" t="s">
        <v>386</v>
      </c>
    </row>
    <row r="387" spans="1:2">
      <c r="A387" t="str">
        <f>"880905"</f>
        <v>880905</v>
      </c>
      <c r="B387" t="s">
        <v>387</v>
      </c>
    </row>
    <row r="388" spans="1:2">
      <c r="A388" t="str">
        <f>"880906"</f>
        <v>880906</v>
      </c>
      <c r="B388" t="s">
        <v>388</v>
      </c>
    </row>
    <row r="389" spans="1:2">
      <c r="A389" t="str">
        <f>"880908"</f>
        <v>880908</v>
      </c>
      <c r="B389" t="s">
        <v>389</v>
      </c>
    </row>
    <row r="390" spans="1:2">
      <c r="A390" t="str">
        <f>"880909"</f>
        <v>880909</v>
      </c>
      <c r="B390" t="s">
        <v>390</v>
      </c>
    </row>
    <row r="391" spans="1:2">
      <c r="A391" t="str">
        <f>"880910"</f>
        <v>880910</v>
      </c>
      <c r="B391" t="s">
        <v>391</v>
      </c>
    </row>
    <row r="392" spans="1:8">
      <c r="A392" t="str">
        <f>"880911"</f>
        <v>880911</v>
      </c>
      <c r="B392" t="s">
        <v>392</v>
      </c>
      <c r="C392"/>
      <c r="D392"/>
      <c r="E392"/>
      <c r="F392"/>
      <c r="G392"/>
      <c r="H392" s="1"/>
    </row>
    <row r="393" spans="1:2">
      <c r="A393" t="str">
        <f>"880912"</f>
        <v>880912</v>
      </c>
      <c r="B393" t="s">
        <v>393</v>
      </c>
    </row>
    <row r="394" spans="1:2">
      <c r="A394" t="str">
        <f>"880913"</f>
        <v>880913</v>
      </c>
      <c r="B394" t="s">
        <v>394</v>
      </c>
    </row>
    <row r="395" spans="1:8">
      <c r="A395" t="str">
        <f>"880916"</f>
        <v>880916</v>
      </c>
      <c r="B395" t="s">
        <v>395</v>
      </c>
      <c r="C395"/>
      <c r="D395"/>
      <c r="E395"/>
      <c r="F395"/>
      <c r="G395"/>
      <c r="H395" s="1"/>
    </row>
    <row r="396" spans="1:8">
      <c r="A396" t="str">
        <f>"880917"</f>
        <v>880917</v>
      </c>
      <c r="B396" t="s">
        <v>396</v>
      </c>
      <c r="C396"/>
      <c r="D396"/>
      <c r="E396"/>
      <c r="F396"/>
      <c r="G396"/>
      <c r="H396" s="1"/>
    </row>
    <row r="397" spans="1:2">
      <c r="A397" t="str">
        <f>"880919"</f>
        <v>880919</v>
      </c>
      <c r="B397" t="s">
        <v>397</v>
      </c>
    </row>
    <row r="398" spans="1:2">
      <c r="A398" t="str">
        <f>"880920"</f>
        <v>880920</v>
      </c>
      <c r="B398" t="s">
        <v>398</v>
      </c>
    </row>
    <row r="399" spans="1:2">
      <c r="A399" t="str">
        <f>"880921"</f>
        <v>880921</v>
      </c>
      <c r="B399" t="s">
        <v>399</v>
      </c>
    </row>
    <row r="400" spans="1:2">
      <c r="A400" t="str">
        <f>"880922"</f>
        <v>880922</v>
      </c>
      <c r="B400" t="s">
        <v>400</v>
      </c>
    </row>
    <row r="401" spans="1:2">
      <c r="A401" t="str">
        <f>"880923"</f>
        <v>880923</v>
      </c>
      <c r="B401" t="s">
        <v>401</v>
      </c>
    </row>
    <row r="402" spans="1:2">
      <c r="A402" t="str">
        <f>"880926"</f>
        <v>880926</v>
      </c>
      <c r="B402" t="s">
        <v>402</v>
      </c>
    </row>
    <row r="403" spans="1:2">
      <c r="A403" t="str">
        <f>"880929"</f>
        <v>880929</v>
      </c>
      <c r="B403" t="s">
        <v>403</v>
      </c>
    </row>
    <row r="404" spans="1:2">
      <c r="A404" t="str">
        <f>"880930"</f>
        <v>880930</v>
      </c>
      <c r="B404" t="s">
        <v>404</v>
      </c>
    </row>
    <row r="405" spans="1:2">
      <c r="A405" t="str">
        <f>"880931"</f>
        <v>880931</v>
      </c>
      <c r="B405" t="s">
        <v>405</v>
      </c>
    </row>
    <row r="406" spans="1:2">
      <c r="A406" t="str">
        <f>"880933"</f>
        <v>880933</v>
      </c>
      <c r="B406" t="s">
        <v>406</v>
      </c>
    </row>
    <row r="407" spans="1:2">
      <c r="A407" t="str">
        <f>"880936"</f>
        <v>880936</v>
      </c>
      <c r="B407" t="s">
        <v>407</v>
      </c>
    </row>
    <row r="408" spans="1:2">
      <c r="A408" t="str">
        <f>"880938"</f>
        <v>880938</v>
      </c>
      <c r="B408" t="s">
        <v>408</v>
      </c>
    </row>
    <row r="409" spans="1:2">
      <c r="A409" t="str">
        <f>"880939"</f>
        <v>880939</v>
      </c>
      <c r="B409" t="s">
        <v>409</v>
      </c>
    </row>
    <row r="410" spans="1:2">
      <c r="A410" t="str">
        <f>"880940"</f>
        <v>880940</v>
      </c>
      <c r="B410" t="s">
        <v>410</v>
      </c>
    </row>
    <row r="411" spans="1:2">
      <c r="A411" t="str">
        <f>"880941"</f>
        <v>880941</v>
      </c>
      <c r="B411" t="s">
        <v>411</v>
      </c>
    </row>
    <row r="412" spans="1:2">
      <c r="A412" t="str">
        <f>"880942"</f>
        <v>880942</v>
      </c>
      <c r="B412" t="s">
        <v>412</v>
      </c>
    </row>
    <row r="413" spans="1:2">
      <c r="A413" t="str">
        <f>"880943"</f>
        <v>880943</v>
      </c>
      <c r="B413" t="s">
        <v>413</v>
      </c>
    </row>
    <row r="414" spans="1:2">
      <c r="A414" t="str">
        <f>"880944"</f>
        <v>880944</v>
      </c>
      <c r="B414" t="s">
        <v>414</v>
      </c>
    </row>
    <row r="415" spans="1:2">
      <c r="A415" t="str">
        <f>"880945"</f>
        <v>880945</v>
      </c>
      <c r="B415" t="s">
        <v>415</v>
      </c>
    </row>
    <row r="416" spans="1:8">
      <c r="A416" t="str">
        <f>"880946"</f>
        <v>880946</v>
      </c>
      <c r="B416" t="s">
        <v>416</v>
      </c>
      <c r="C416"/>
      <c r="D416"/>
      <c r="E416"/>
      <c r="F416"/>
      <c r="G416"/>
      <c r="H416" s="1"/>
    </row>
    <row r="417" spans="1:2">
      <c r="A417" t="str">
        <f>"880947"</f>
        <v>880947</v>
      </c>
      <c r="B417" t="s">
        <v>417</v>
      </c>
    </row>
    <row r="418" spans="1:8">
      <c r="A418" t="str">
        <f>"880948"</f>
        <v>880948</v>
      </c>
      <c r="B418" t="s">
        <v>418</v>
      </c>
      <c r="C418"/>
      <c r="D418"/>
      <c r="E418"/>
      <c r="F418"/>
      <c r="G418"/>
      <c r="H418" s="1"/>
    </row>
    <row r="419" spans="1:8">
      <c r="A419" t="str">
        <f>"880949"</f>
        <v>880949</v>
      </c>
      <c r="B419" t="s">
        <v>419</v>
      </c>
      <c r="C419"/>
      <c r="D419"/>
      <c r="E419"/>
      <c r="F419"/>
      <c r="G419"/>
      <c r="H419" s="1"/>
    </row>
    <row r="420" spans="1:2">
      <c r="A420" t="str">
        <f>"880950"</f>
        <v>880950</v>
      </c>
      <c r="B420" t="s">
        <v>420</v>
      </c>
    </row>
    <row r="421" spans="1:2">
      <c r="A421" t="str">
        <f>"880951"</f>
        <v>880951</v>
      </c>
      <c r="B421" t="s">
        <v>421</v>
      </c>
    </row>
    <row r="422" spans="1:8">
      <c r="A422" t="str">
        <f>"880952"</f>
        <v>880952</v>
      </c>
      <c r="B422" t="s">
        <v>422</v>
      </c>
      <c r="C422"/>
      <c r="D422"/>
      <c r="E422"/>
      <c r="F422"/>
      <c r="G422"/>
      <c r="H422" s="1"/>
    </row>
    <row r="423" spans="1:2">
      <c r="A423" t="str">
        <f>"880953"</f>
        <v>880953</v>
      </c>
      <c r="B423" t="s">
        <v>423</v>
      </c>
    </row>
    <row r="424" spans="1:8">
      <c r="A424" t="str">
        <f>"880954"</f>
        <v>880954</v>
      </c>
      <c r="B424" t="s">
        <v>424</v>
      </c>
      <c r="C424"/>
      <c r="D424"/>
      <c r="E424"/>
      <c r="F424"/>
      <c r="G424"/>
      <c r="H424" s="1"/>
    </row>
    <row r="425" spans="1:2">
      <c r="A425" t="str">
        <f>"880955"</f>
        <v>880955</v>
      </c>
      <c r="B425" t="s">
        <v>425</v>
      </c>
    </row>
    <row r="426" spans="1:2">
      <c r="A426" t="str">
        <f>"880956"</f>
        <v>880956</v>
      </c>
      <c r="B426" t="s">
        <v>426</v>
      </c>
    </row>
    <row r="427" spans="1:2">
      <c r="A427" t="str">
        <f>"880957"</f>
        <v>880957</v>
      </c>
      <c r="B427" t="s">
        <v>427</v>
      </c>
    </row>
    <row r="428" spans="1:2">
      <c r="A428" t="str">
        <f>"880959"</f>
        <v>880959</v>
      </c>
      <c r="B428" t="s">
        <v>428</v>
      </c>
    </row>
    <row r="429" spans="1:2">
      <c r="A429" t="str">
        <f>"880960"</f>
        <v>880960</v>
      </c>
      <c r="B429" t="s">
        <v>429</v>
      </c>
    </row>
    <row r="430" spans="1:2">
      <c r="A430" t="str">
        <f>"880961"</f>
        <v>880961</v>
      </c>
      <c r="B430" t="s">
        <v>430</v>
      </c>
    </row>
    <row r="431" spans="1:2">
      <c r="A431" t="str">
        <f>"880962"</f>
        <v>880962</v>
      </c>
      <c r="B431" t="s">
        <v>431</v>
      </c>
    </row>
    <row r="432" spans="1:2">
      <c r="A432" t="str">
        <f>"880964"</f>
        <v>880964</v>
      </c>
      <c r="B432" t="s">
        <v>432</v>
      </c>
    </row>
    <row r="433" spans="1:2">
      <c r="A433" t="str">
        <f>"880965"</f>
        <v>880965</v>
      </c>
      <c r="B433" t="s">
        <v>433</v>
      </c>
    </row>
    <row r="434" spans="1:2">
      <c r="A434" t="str">
        <f>"880966"</f>
        <v>880966</v>
      </c>
      <c r="B434" t="s">
        <v>434</v>
      </c>
    </row>
    <row r="435" spans="1:2">
      <c r="A435" t="str">
        <f>"880967"</f>
        <v>880967</v>
      </c>
      <c r="B435" t="s">
        <v>435</v>
      </c>
    </row>
    <row r="436" spans="1:2">
      <c r="A436" t="str">
        <f>"880968"</f>
        <v>880968</v>
      </c>
      <c r="B436" t="s">
        <v>436</v>
      </c>
    </row>
    <row r="437" spans="1:2">
      <c r="A437" t="str">
        <f>"880969"</f>
        <v>880969</v>
      </c>
      <c r="B437" t="s">
        <v>437</v>
      </c>
    </row>
    <row r="438" spans="1:2">
      <c r="A438" t="str">
        <f>"880970"</f>
        <v>880970</v>
      </c>
      <c r="B438" t="s">
        <v>438</v>
      </c>
    </row>
    <row r="439" spans="1:2">
      <c r="A439" t="str">
        <f>"880971"</f>
        <v>880971</v>
      </c>
      <c r="B439" t="s">
        <v>439</v>
      </c>
    </row>
    <row r="440" spans="1:2">
      <c r="A440" t="str">
        <f>"880973"</f>
        <v>880973</v>
      </c>
      <c r="B440" t="s">
        <v>440</v>
      </c>
    </row>
    <row r="441" spans="1:2">
      <c r="A441" t="str">
        <f>"880974"</f>
        <v>880974</v>
      </c>
      <c r="B441" t="s">
        <v>441</v>
      </c>
    </row>
    <row r="442" spans="1:2">
      <c r="A442" t="str">
        <f>"880975"</f>
        <v>880975</v>
      </c>
      <c r="B442" t="s">
        <v>442</v>
      </c>
    </row>
    <row r="443" spans="1:2">
      <c r="A443" t="str">
        <f>"880976"</f>
        <v>880976</v>
      </c>
      <c r="B443" t="s">
        <v>443</v>
      </c>
    </row>
    <row r="444" spans="1:2">
      <c r="A444" t="str">
        <f>"880977"</f>
        <v>880977</v>
      </c>
      <c r="B444" t="s">
        <v>444</v>
      </c>
    </row>
  </sheetData>
  <sortState ref="A1:B444">
    <sortCondition ref="A299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板块指数20230612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2023-06-14T12:30:28Z</dcterms:created>
  <dcterms:modified xsi:type="dcterms:W3CDTF">2023-06-14T13:22:06Z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9703037243A648B6A95AC356B80D58BB_13</vt:lpwstr>
  </property>
  <property fmtid="{D5CDD505-2E9C-101B-9397-08002B2CF9AE}" pid="3" name="KSOProductBuildVer">
    <vt:lpwstr>2052-11.1.0.14309</vt:lpwstr>
  </property>
</Properties>
</file>