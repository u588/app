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2345"/>
  </bookViews>
  <sheets>
    <sheet name="用户分析" sheetId="1" r:id="rId1"/>
  </sheets>
  <calcPr calcId="144525"/>
</workbook>
</file>

<file path=xl/sharedStrings.xml><?xml version="1.0" encoding="utf-8"?>
<sst xmlns="http://schemas.openxmlformats.org/spreadsheetml/2006/main" count="78" uniqueCount="26">
  <si>
    <t>以BOSS系统中市公司数据为基准</t>
  </si>
  <si>
    <t>分配网电费总额</t>
  </si>
  <si>
    <t>分类</t>
  </si>
  <si>
    <t>缴纳电费</t>
  </si>
  <si>
    <t>临时用电</t>
  </si>
  <si>
    <t>用户自担电费</t>
  </si>
  <si>
    <t>合计</t>
  </si>
  <si>
    <t>电视业务有效用户数</t>
  </si>
  <si>
    <t>宽带业务有效用户数</t>
  </si>
  <si>
    <t>覆盖小区</t>
  </si>
  <si>
    <t>可统计电费总额</t>
  </si>
  <si>
    <t>单技术组网</t>
  </si>
  <si>
    <t>小C局端</t>
  </si>
  <si>
    <t>数量</t>
  </si>
  <si>
    <t>覆盖电视用户</t>
  </si>
  <si>
    <t>覆盖宽带用户</t>
  </si>
  <si>
    <t>EOC局端</t>
  </si>
  <si>
    <t>OLT</t>
  </si>
  <si>
    <t>混合组网</t>
  </si>
  <si>
    <t>小C、OLT</t>
  </si>
  <si>
    <t>小C局端数量</t>
  </si>
  <si>
    <t>OLT数量</t>
  </si>
  <si>
    <t>EOC、OLT</t>
  </si>
  <si>
    <t>EOC局端数量</t>
  </si>
  <si>
    <t>单向小区</t>
  </si>
  <si>
    <t>小区数量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</si>
</sst>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9"/>
      <name val="微软雅黑"/>
      <charset val="134"/>
    </font>
    <font>
      <sz val="9"/>
      <color theme="1"/>
      <name val="微软雅黑"/>
      <charset val="134"/>
    </font>
    <font>
      <sz val="10"/>
      <name val="宋体"/>
      <charset val="134"/>
      <scheme val="major"/>
    </font>
    <font>
      <sz val="10"/>
      <color theme="1"/>
      <name val="宋体"/>
      <charset val="134"/>
      <scheme val="major"/>
    </font>
    <font>
      <b/>
      <sz val="10"/>
      <color theme="1"/>
      <name val="微软雅黑"/>
      <charset val="134"/>
    </font>
    <font>
      <sz val="10"/>
      <name val="微软雅黑"/>
      <charset val="134"/>
    </font>
    <font>
      <sz val="10"/>
      <color theme="1"/>
      <name val="微软雅黑"/>
      <charset val="134"/>
    </font>
    <font>
      <b/>
      <sz val="11"/>
      <color theme="1"/>
      <name val="微软雅黑"/>
      <charset val="134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2" borderId="0" applyNumberFormat="0" applyBorder="0" applyAlignment="0" applyProtection="0">
      <alignment vertical="center"/>
    </xf>
    <xf numFmtId="0" fontId="11" fillId="3" borderId="17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7" borderId="18" applyNumberFormat="0" applyFont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19" applyNumberFormat="0" applyFill="0" applyAlignment="0" applyProtection="0">
      <alignment vertical="center"/>
    </xf>
    <xf numFmtId="0" fontId="21" fillId="0" borderId="19" applyNumberFormat="0" applyFill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6" fillId="0" borderId="20" applyNumberFormat="0" applyFill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22" fillId="11" borderId="21" applyNumberFormat="0" applyAlignment="0" applyProtection="0">
      <alignment vertical="center"/>
    </xf>
    <xf numFmtId="0" fontId="23" fillId="11" borderId="17" applyNumberFormat="0" applyAlignment="0" applyProtection="0">
      <alignment vertical="center"/>
    </xf>
    <xf numFmtId="0" fontId="24" fillId="12" borderId="22" applyNumberFormat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25" fillId="0" borderId="23" applyNumberFormat="0" applyFill="0" applyAlignment="0" applyProtection="0">
      <alignment vertical="center"/>
    </xf>
    <xf numFmtId="0" fontId="26" fillId="0" borderId="24" applyNumberFormat="0" applyFill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vertical="center"/>
    </xf>
    <xf numFmtId="0" fontId="5" fillId="0" borderId="1" xfId="0" applyFont="1" applyFill="1" applyBorder="1" applyAlignment="1">
      <alignment vertical="center"/>
    </xf>
    <xf numFmtId="0" fontId="3" fillId="0" borderId="1" xfId="0" applyFont="1" applyBorder="1" applyAlignment="1">
      <alignment horizontal="center" vertical="center" textRotation="255"/>
    </xf>
    <xf numFmtId="0" fontId="5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7" fillId="0" borderId="9" xfId="0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vertical="center"/>
    </xf>
    <xf numFmtId="44" fontId="8" fillId="0" borderId="10" xfId="0" applyNumberFormat="1" applyFont="1" applyBorder="1" applyAlignment="1">
      <alignment horizontal="center" vertical="center"/>
    </xf>
    <xf numFmtId="0" fontId="7" fillId="0" borderId="11" xfId="0" applyFont="1" applyFill="1" applyBorder="1" applyAlignment="1">
      <alignment horizontal="center" vertical="center"/>
    </xf>
    <xf numFmtId="0" fontId="7" fillId="0" borderId="12" xfId="0" applyFont="1" applyFill="1" applyBorder="1" applyAlignment="1">
      <alignment horizontal="center" vertical="center"/>
    </xf>
    <xf numFmtId="0" fontId="7" fillId="0" borderId="12" xfId="0" applyFont="1" applyFill="1" applyBorder="1" applyAlignment="1">
      <alignment vertical="center"/>
    </xf>
    <xf numFmtId="44" fontId="8" fillId="0" borderId="13" xfId="0" applyNumberFormat="1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44" fontId="0" fillId="0" borderId="16" xfId="0" applyNumberFormat="1" applyBorder="1">
      <alignment vertical="center"/>
    </xf>
    <xf numFmtId="0" fontId="3" fillId="0" borderId="14" xfId="0" applyFont="1" applyBorder="1" applyAlignment="1">
      <alignment horizontal="center" vertical="center" textRotation="255"/>
    </xf>
    <xf numFmtId="0" fontId="2" fillId="0" borderId="15" xfId="0" applyFont="1" applyFill="1" applyBorder="1" applyAlignment="1">
      <alignment horizontal="center" vertical="center" wrapText="1"/>
    </xf>
    <xf numFmtId="0" fontId="4" fillId="0" borderId="15" xfId="0" applyFont="1" applyFill="1" applyBorder="1" applyAlignment="1">
      <alignment vertical="center"/>
    </xf>
    <xf numFmtId="44" fontId="0" fillId="0" borderId="16" xfId="0" applyNumberFormat="1" applyBorder="1" applyAlignment="1">
      <alignment horizontal="center" vertical="center"/>
    </xf>
    <xf numFmtId="0" fontId="3" fillId="0" borderId="9" xfId="0" applyFont="1" applyBorder="1" applyAlignment="1">
      <alignment horizontal="center" vertical="center" textRotation="255"/>
    </xf>
    <xf numFmtId="44" fontId="0" fillId="0" borderId="10" xfId="0" applyNumberForma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2" fillId="0" borderId="12" xfId="0" applyFont="1" applyFill="1" applyBorder="1" applyAlignment="1">
      <alignment horizontal="center" vertical="center" wrapText="1"/>
    </xf>
    <xf numFmtId="0" fontId="5" fillId="0" borderId="12" xfId="0" applyFont="1" applyBorder="1">
      <alignment vertical="center"/>
    </xf>
    <xf numFmtId="44" fontId="0" fillId="0" borderId="13" xfId="0" applyNumberFormat="1" applyBorder="1" applyAlignment="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9"/>
  <sheetViews>
    <sheetView tabSelected="1" workbookViewId="0">
      <selection activeCell="S19" sqref="S19"/>
    </sheetView>
  </sheetViews>
  <sheetFormatPr defaultColWidth="9" defaultRowHeight="13.5"/>
  <cols>
    <col min="1" max="1" width="4.875" customWidth="1"/>
    <col min="2" max="2" width="9.875" customWidth="1"/>
    <col min="3" max="3" width="13" customWidth="1"/>
    <col min="4" max="4" width="8.75" customWidth="1"/>
    <col min="5" max="5" width="8.875" customWidth="1"/>
    <col min="6" max="6" width="10.375" customWidth="1"/>
    <col min="7" max="7" width="6.625" customWidth="1"/>
    <col min="13" max="13" width="16.5" customWidth="1"/>
    <col min="15" max="15" width="12.625"/>
  </cols>
  <sheetData>
    <row r="1" ht="33" customHeight="1" spans="1:13">
      <c r="A1" s="1" t="s">
        <v>0</v>
      </c>
      <c r="B1" s="1"/>
      <c r="C1" s="1"/>
      <c r="D1" s="1"/>
      <c r="E1" s="1"/>
      <c r="F1" s="1"/>
      <c r="G1" s="1"/>
      <c r="I1" s="14" t="s">
        <v>1</v>
      </c>
      <c r="J1" s="15"/>
      <c r="K1" s="15"/>
      <c r="L1" s="15"/>
      <c r="M1" s="16"/>
    </row>
    <row r="2" ht="18" customHeight="1" spans="1:13">
      <c r="A2" s="2" t="s">
        <v>2</v>
      </c>
      <c r="B2" s="2"/>
      <c r="C2" s="2"/>
      <c r="D2" s="3" t="s">
        <v>3</v>
      </c>
      <c r="E2" s="3" t="s">
        <v>4</v>
      </c>
      <c r="F2" s="3" t="s">
        <v>5</v>
      </c>
      <c r="G2" s="4" t="s">
        <v>6</v>
      </c>
      <c r="I2" s="17" t="s">
        <v>7</v>
      </c>
      <c r="J2" s="18"/>
      <c r="K2" s="18"/>
      <c r="L2" s="19">
        <v>30651</v>
      </c>
      <c r="M2" s="20">
        <v>823237.08</v>
      </c>
    </row>
    <row r="3" ht="18" customHeight="1" spans="1:13">
      <c r="A3" s="2" t="s">
        <v>7</v>
      </c>
      <c r="B3" s="2"/>
      <c r="C3" s="2"/>
      <c r="D3" s="5">
        <v>30651</v>
      </c>
      <c r="E3" s="5">
        <v>26214</v>
      </c>
      <c r="F3" s="5">
        <v>13508</v>
      </c>
      <c r="G3" s="6">
        <f>SUM(D3:F3)</f>
        <v>70373</v>
      </c>
      <c r="I3" s="17" t="s">
        <v>8</v>
      </c>
      <c r="J3" s="18"/>
      <c r="K3" s="18"/>
      <c r="L3" s="19">
        <v>14988</v>
      </c>
      <c r="M3" s="20"/>
    </row>
    <row r="4" ht="18" customHeight="1" spans="1:13">
      <c r="A4" s="2" t="s">
        <v>8</v>
      </c>
      <c r="B4" s="2"/>
      <c r="C4" s="2"/>
      <c r="D4" s="5">
        <v>14988</v>
      </c>
      <c r="E4" s="5">
        <v>14000</v>
      </c>
      <c r="F4" s="5">
        <v>5085</v>
      </c>
      <c r="G4" s="6">
        <f>SUM(D4:F4)</f>
        <v>34073</v>
      </c>
      <c r="I4" s="21" t="s">
        <v>9</v>
      </c>
      <c r="J4" s="22"/>
      <c r="K4" s="22"/>
      <c r="L4" s="23">
        <v>259</v>
      </c>
      <c r="M4" s="24"/>
    </row>
    <row r="5" ht="18" customHeight="1" spans="1:13">
      <c r="A5" s="3" t="s">
        <v>9</v>
      </c>
      <c r="B5" s="3"/>
      <c r="C5" s="3"/>
      <c r="D5" s="5">
        <v>259</v>
      </c>
      <c r="E5" s="5">
        <v>458</v>
      </c>
      <c r="F5" s="5">
        <v>382</v>
      </c>
      <c r="G5" s="6">
        <f>SUM(D5:F5)</f>
        <v>1099</v>
      </c>
      <c r="I5" s="25" t="s">
        <v>10</v>
      </c>
      <c r="J5" s="26"/>
      <c r="K5" s="26"/>
      <c r="L5" s="26"/>
      <c r="M5" s="27">
        <v>721105.1</v>
      </c>
    </row>
    <row r="6" ht="18" customHeight="1" spans="1:13">
      <c r="A6" s="7" t="s">
        <v>11</v>
      </c>
      <c r="B6" s="2" t="s">
        <v>12</v>
      </c>
      <c r="C6" s="2" t="s">
        <v>13</v>
      </c>
      <c r="D6" s="5">
        <v>34</v>
      </c>
      <c r="E6" s="5">
        <v>53</v>
      </c>
      <c r="F6" s="5">
        <v>0</v>
      </c>
      <c r="G6" s="6">
        <f t="shared" ref="G6:G29" si="0">SUM(D6:F6)</f>
        <v>87</v>
      </c>
      <c r="I6" s="28" t="s">
        <v>11</v>
      </c>
      <c r="J6" s="29" t="s">
        <v>12</v>
      </c>
      <c r="K6" s="29" t="s">
        <v>13</v>
      </c>
      <c r="L6" s="30">
        <v>30</v>
      </c>
      <c r="M6" s="31">
        <v>32826.96</v>
      </c>
    </row>
    <row r="7" ht="18" customHeight="1" spans="1:13">
      <c r="A7" s="7"/>
      <c r="B7" s="2"/>
      <c r="C7" s="3" t="s">
        <v>9</v>
      </c>
      <c r="D7" s="5">
        <v>13</v>
      </c>
      <c r="E7" s="5">
        <v>14</v>
      </c>
      <c r="F7" s="5">
        <v>0</v>
      </c>
      <c r="G7" s="6">
        <f t="shared" si="0"/>
        <v>27</v>
      </c>
      <c r="I7" s="32"/>
      <c r="J7" s="2"/>
      <c r="K7" s="3" t="s">
        <v>9</v>
      </c>
      <c r="L7" s="5">
        <v>8</v>
      </c>
      <c r="M7" s="33"/>
    </row>
    <row r="8" ht="18" customHeight="1" spans="1:13">
      <c r="A8" s="7"/>
      <c r="B8" s="2"/>
      <c r="C8" s="2" t="s">
        <v>14</v>
      </c>
      <c r="D8" s="5">
        <v>525</v>
      </c>
      <c r="E8" s="5">
        <v>1084</v>
      </c>
      <c r="F8" s="5">
        <v>0</v>
      </c>
      <c r="G8" s="6">
        <f t="shared" si="0"/>
        <v>1609</v>
      </c>
      <c r="I8" s="32"/>
      <c r="J8" s="2"/>
      <c r="K8" s="2" t="s">
        <v>14</v>
      </c>
      <c r="L8" s="5">
        <v>547</v>
      </c>
      <c r="M8" s="33"/>
    </row>
    <row r="9" ht="18" customHeight="1" spans="1:13">
      <c r="A9" s="7"/>
      <c r="B9" s="2"/>
      <c r="C9" s="2" t="s">
        <v>15</v>
      </c>
      <c r="D9" s="5">
        <v>155</v>
      </c>
      <c r="E9" s="5">
        <v>407</v>
      </c>
      <c r="F9" s="5">
        <v>0</v>
      </c>
      <c r="G9" s="6">
        <f t="shared" si="0"/>
        <v>562</v>
      </c>
      <c r="I9" s="32"/>
      <c r="J9" s="2"/>
      <c r="K9" s="2" t="s">
        <v>15</v>
      </c>
      <c r="L9" s="5">
        <v>150</v>
      </c>
      <c r="M9" s="33"/>
    </row>
    <row r="10" customFormat="1" ht="18" customHeight="1" spans="1:13">
      <c r="A10" s="7"/>
      <c r="B10" s="2" t="s">
        <v>16</v>
      </c>
      <c r="C10" s="2" t="s">
        <v>13</v>
      </c>
      <c r="D10" s="5">
        <v>1140</v>
      </c>
      <c r="E10" s="5">
        <v>619</v>
      </c>
      <c r="F10" s="5">
        <v>0</v>
      </c>
      <c r="G10" s="6">
        <f t="shared" si="0"/>
        <v>1759</v>
      </c>
      <c r="I10" s="32"/>
      <c r="J10" s="2" t="s">
        <v>16</v>
      </c>
      <c r="K10" s="2" t="s">
        <v>13</v>
      </c>
      <c r="L10" s="5">
        <v>1112</v>
      </c>
      <c r="M10" s="33">
        <v>215306.78</v>
      </c>
    </row>
    <row r="11" customFormat="1" ht="18" customHeight="1" spans="1:13">
      <c r="A11" s="7"/>
      <c r="B11" s="2"/>
      <c r="C11" s="3" t="s">
        <v>9</v>
      </c>
      <c r="D11" s="5">
        <v>22</v>
      </c>
      <c r="E11" s="5">
        <v>19</v>
      </c>
      <c r="F11" s="5">
        <v>0</v>
      </c>
      <c r="G11" s="6">
        <f t="shared" si="0"/>
        <v>41</v>
      </c>
      <c r="I11" s="32"/>
      <c r="J11" s="2"/>
      <c r="K11" s="3" t="s">
        <v>9</v>
      </c>
      <c r="L11" s="5">
        <v>18</v>
      </c>
      <c r="M11" s="33"/>
    </row>
    <row r="12" customFormat="1" ht="18" customHeight="1" spans="1:13">
      <c r="A12" s="7"/>
      <c r="B12" s="2"/>
      <c r="C12" s="2" t="s">
        <v>14</v>
      </c>
      <c r="D12" s="5">
        <v>8517</v>
      </c>
      <c r="E12" s="5">
        <v>2702</v>
      </c>
      <c r="F12" s="5">
        <v>0</v>
      </c>
      <c r="G12" s="6">
        <f t="shared" si="0"/>
        <v>11219</v>
      </c>
      <c r="I12" s="32"/>
      <c r="J12" s="2"/>
      <c r="K12" s="2" t="s">
        <v>14</v>
      </c>
      <c r="L12" s="5">
        <v>8331</v>
      </c>
      <c r="M12" s="33"/>
    </row>
    <row r="13" customFormat="1" ht="18" customHeight="1" spans="1:13">
      <c r="A13" s="7"/>
      <c r="B13" s="2"/>
      <c r="C13" s="2" t="s">
        <v>15</v>
      </c>
      <c r="D13" s="5">
        <v>3188</v>
      </c>
      <c r="E13" s="5">
        <v>1510</v>
      </c>
      <c r="F13" s="5">
        <v>0</v>
      </c>
      <c r="G13" s="6">
        <f t="shared" si="0"/>
        <v>4698</v>
      </c>
      <c r="I13" s="32"/>
      <c r="J13" s="2"/>
      <c r="K13" s="2" t="s">
        <v>15</v>
      </c>
      <c r="L13" s="5">
        <v>3099</v>
      </c>
      <c r="M13" s="33"/>
    </row>
    <row r="14" customFormat="1" ht="18" customHeight="1" spans="1:13">
      <c r="A14" s="7"/>
      <c r="B14" s="2" t="s">
        <v>17</v>
      </c>
      <c r="C14" s="2" t="s">
        <v>13</v>
      </c>
      <c r="D14" s="5">
        <v>65</v>
      </c>
      <c r="E14" s="5">
        <v>60</v>
      </c>
      <c r="F14" s="5">
        <v>11</v>
      </c>
      <c r="G14" s="6">
        <f t="shared" si="0"/>
        <v>136</v>
      </c>
      <c r="I14" s="32"/>
      <c r="J14" s="2" t="s">
        <v>17</v>
      </c>
      <c r="K14" s="2" t="s">
        <v>13</v>
      </c>
      <c r="L14" s="5">
        <v>46</v>
      </c>
      <c r="M14" s="33">
        <v>324935.2</v>
      </c>
    </row>
    <row r="15" customFormat="1" ht="18" customHeight="1" spans="1:13">
      <c r="A15" s="7"/>
      <c r="B15" s="2"/>
      <c r="C15" s="3" t="s">
        <v>9</v>
      </c>
      <c r="D15" s="5">
        <v>179</v>
      </c>
      <c r="E15" s="5">
        <v>336</v>
      </c>
      <c r="F15" s="5">
        <v>140</v>
      </c>
      <c r="G15" s="6">
        <f t="shared" si="0"/>
        <v>655</v>
      </c>
      <c r="I15" s="32"/>
      <c r="J15" s="2"/>
      <c r="K15" s="3" t="s">
        <v>9</v>
      </c>
      <c r="L15" s="5">
        <v>102</v>
      </c>
      <c r="M15" s="33"/>
    </row>
    <row r="16" customFormat="1" ht="18" customHeight="1" spans="1:13">
      <c r="A16" s="7"/>
      <c r="B16" s="2"/>
      <c r="C16" s="2" t="s">
        <v>14</v>
      </c>
      <c r="D16" s="5">
        <v>15869</v>
      </c>
      <c r="E16" s="5">
        <v>17663</v>
      </c>
      <c r="F16" s="5">
        <v>8536</v>
      </c>
      <c r="G16" s="6">
        <f t="shared" si="0"/>
        <v>42068</v>
      </c>
      <c r="I16" s="32"/>
      <c r="J16" s="2"/>
      <c r="K16" s="2" t="s">
        <v>14</v>
      </c>
      <c r="L16" s="5">
        <v>10376</v>
      </c>
      <c r="M16" s="33"/>
    </row>
    <row r="17" customFormat="1" ht="18" customHeight="1" spans="1:13">
      <c r="A17" s="7"/>
      <c r="B17" s="2"/>
      <c r="C17" s="2" t="s">
        <v>15</v>
      </c>
      <c r="D17" s="5">
        <v>8634</v>
      </c>
      <c r="E17" s="5">
        <v>10461</v>
      </c>
      <c r="F17" s="5">
        <v>5014</v>
      </c>
      <c r="G17" s="6">
        <f t="shared" si="0"/>
        <v>24109</v>
      </c>
      <c r="I17" s="32"/>
      <c r="J17" s="2"/>
      <c r="K17" s="2" t="s">
        <v>15</v>
      </c>
      <c r="L17" s="5">
        <v>5632</v>
      </c>
      <c r="M17" s="33"/>
    </row>
    <row r="18" customFormat="1" ht="18" customHeight="1" spans="1:13">
      <c r="A18" s="7" t="s">
        <v>18</v>
      </c>
      <c r="B18" s="2" t="s">
        <v>19</v>
      </c>
      <c r="C18" s="2" t="s">
        <v>20</v>
      </c>
      <c r="D18" s="5">
        <v>123</v>
      </c>
      <c r="E18" s="5">
        <v>33</v>
      </c>
      <c r="F18" s="5">
        <v>0</v>
      </c>
      <c r="G18" s="6">
        <f t="shared" si="0"/>
        <v>156</v>
      </c>
      <c r="I18" s="32" t="s">
        <v>18</v>
      </c>
      <c r="J18" s="2" t="s">
        <v>19</v>
      </c>
      <c r="K18" s="2" t="s">
        <v>20</v>
      </c>
      <c r="L18" s="5">
        <v>76</v>
      </c>
      <c r="M18" s="33">
        <v>94706.78</v>
      </c>
    </row>
    <row r="19" customFormat="1" ht="18" customHeight="1" spans="1:13">
      <c r="A19" s="7"/>
      <c r="B19" s="2"/>
      <c r="C19" s="2" t="s">
        <v>21</v>
      </c>
      <c r="D19" s="5">
        <v>9</v>
      </c>
      <c r="E19" s="5">
        <v>6</v>
      </c>
      <c r="F19" s="5">
        <v>0</v>
      </c>
      <c r="G19" s="6">
        <f t="shared" si="0"/>
        <v>15</v>
      </c>
      <c r="I19" s="32"/>
      <c r="J19" s="2"/>
      <c r="K19" s="2" t="s">
        <v>21</v>
      </c>
      <c r="L19" s="5">
        <v>3</v>
      </c>
      <c r="M19" s="33"/>
    </row>
    <row r="20" customFormat="1" ht="18" customHeight="1" spans="1:13">
      <c r="A20" s="7"/>
      <c r="B20" s="2"/>
      <c r="C20" s="3" t="s">
        <v>9</v>
      </c>
      <c r="D20" s="5">
        <v>14</v>
      </c>
      <c r="E20" s="5">
        <v>6</v>
      </c>
      <c r="F20" s="5">
        <v>2</v>
      </c>
      <c r="G20" s="6">
        <f t="shared" si="0"/>
        <v>22</v>
      </c>
      <c r="I20" s="32"/>
      <c r="J20" s="2"/>
      <c r="K20" s="3" t="s">
        <v>9</v>
      </c>
      <c r="L20" s="5">
        <v>6</v>
      </c>
      <c r="M20" s="33"/>
    </row>
    <row r="21" customFormat="1" ht="18" customHeight="1" spans="1:13">
      <c r="A21" s="7"/>
      <c r="B21" s="2"/>
      <c r="C21" s="2" t="s">
        <v>14</v>
      </c>
      <c r="D21" s="5">
        <v>3586</v>
      </c>
      <c r="E21" s="5">
        <v>1474</v>
      </c>
      <c r="F21" s="5">
        <v>84</v>
      </c>
      <c r="G21" s="6">
        <f t="shared" si="0"/>
        <v>5144</v>
      </c>
      <c r="I21" s="32"/>
      <c r="J21" s="2"/>
      <c r="K21" s="2" t="s">
        <v>14</v>
      </c>
      <c r="L21" s="5">
        <v>2039</v>
      </c>
      <c r="M21" s="33"/>
    </row>
    <row r="22" customFormat="1" ht="18" customHeight="1" spans="1:13">
      <c r="A22" s="7"/>
      <c r="B22" s="2"/>
      <c r="C22" s="2" t="s">
        <v>15</v>
      </c>
      <c r="D22" s="5">
        <v>2256</v>
      </c>
      <c r="E22" s="5">
        <v>538</v>
      </c>
      <c r="F22" s="5">
        <v>62</v>
      </c>
      <c r="G22" s="6">
        <f t="shared" si="0"/>
        <v>2856</v>
      </c>
      <c r="I22" s="32"/>
      <c r="J22" s="2"/>
      <c r="K22" s="2" t="s">
        <v>15</v>
      </c>
      <c r="L22" s="5">
        <v>1317</v>
      </c>
      <c r="M22" s="33"/>
    </row>
    <row r="23" ht="18" customHeight="1" spans="1:13">
      <c r="A23" s="7"/>
      <c r="B23" s="2" t="s">
        <v>22</v>
      </c>
      <c r="C23" s="2" t="s">
        <v>23</v>
      </c>
      <c r="D23" s="5">
        <v>148</v>
      </c>
      <c r="E23" s="5">
        <v>200</v>
      </c>
      <c r="F23" s="5">
        <v>0</v>
      </c>
      <c r="G23" s="6">
        <f t="shared" si="0"/>
        <v>348</v>
      </c>
      <c r="I23" s="32"/>
      <c r="J23" s="2" t="s">
        <v>22</v>
      </c>
      <c r="K23" s="2" t="s">
        <v>23</v>
      </c>
      <c r="L23" s="5">
        <v>165</v>
      </c>
      <c r="M23" s="33">
        <v>352530.03</v>
      </c>
    </row>
    <row r="24" ht="18" customHeight="1" spans="1:13">
      <c r="A24" s="7"/>
      <c r="B24" s="2"/>
      <c r="C24" s="3" t="s">
        <v>21</v>
      </c>
      <c r="D24" s="5">
        <v>5</v>
      </c>
      <c r="E24" s="5">
        <v>4</v>
      </c>
      <c r="F24" s="5">
        <v>0</v>
      </c>
      <c r="G24" s="6">
        <f t="shared" si="0"/>
        <v>9</v>
      </c>
      <c r="I24" s="32"/>
      <c r="J24" s="2"/>
      <c r="K24" s="3" t="s">
        <v>21</v>
      </c>
      <c r="L24" s="5">
        <v>6</v>
      </c>
      <c r="M24" s="33"/>
    </row>
    <row r="25" ht="18" customHeight="1" spans="1:13">
      <c r="A25" s="7"/>
      <c r="B25" s="2"/>
      <c r="C25" s="3" t="s">
        <v>9</v>
      </c>
      <c r="D25" s="8">
        <v>5</v>
      </c>
      <c r="E25" s="5">
        <v>10</v>
      </c>
      <c r="F25" s="5">
        <v>1</v>
      </c>
      <c r="G25" s="6">
        <f t="shared" si="0"/>
        <v>16</v>
      </c>
      <c r="I25" s="32"/>
      <c r="J25" s="2"/>
      <c r="K25" s="3" t="s">
        <v>9</v>
      </c>
      <c r="L25" s="8">
        <v>6</v>
      </c>
      <c r="M25" s="33"/>
    </row>
    <row r="26" ht="18" customHeight="1" spans="1:13">
      <c r="A26" s="7"/>
      <c r="B26" s="2"/>
      <c r="C26" s="2" t="s">
        <v>14</v>
      </c>
      <c r="D26" s="8">
        <v>1675</v>
      </c>
      <c r="E26" s="5">
        <v>1712</v>
      </c>
      <c r="F26" s="5">
        <v>6</v>
      </c>
      <c r="G26" s="6">
        <f t="shared" si="0"/>
        <v>3393</v>
      </c>
      <c r="I26" s="32"/>
      <c r="J26" s="2"/>
      <c r="K26" s="2" t="s">
        <v>14</v>
      </c>
      <c r="L26" s="8">
        <v>1855</v>
      </c>
      <c r="M26" s="33"/>
    </row>
    <row r="27" ht="18" customHeight="1" spans="1:13">
      <c r="A27" s="7"/>
      <c r="B27" s="2"/>
      <c r="C27" s="2" t="s">
        <v>15</v>
      </c>
      <c r="D27" s="8">
        <v>755</v>
      </c>
      <c r="E27" s="5">
        <v>1084</v>
      </c>
      <c r="F27" s="5">
        <v>9</v>
      </c>
      <c r="G27" s="6">
        <f t="shared" si="0"/>
        <v>1848</v>
      </c>
      <c r="I27" s="32"/>
      <c r="J27" s="2"/>
      <c r="K27" s="2" t="s">
        <v>15</v>
      </c>
      <c r="L27" s="8">
        <v>816</v>
      </c>
      <c r="M27" s="33"/>
    </row>
    <row r="28" ht="18" customHeight="1" spans="1:13">
      <c r="A28" s="9" t="s">
        <v>24</v>
      </c>
      <c r="B28" s="10"/>
      <c r="C28" s="11" t="s">
        <v>25</v>
      </c>
      <c r="D28" s="8">
        <v>20</v>
      </c>
      <c r="E28" s="8">
        <v>73</v>
      </c>
      <c r="F28" s="8">
        <v>239</v>
      </c>
      <c r="G28" s="6">
        <f t="shared" si="0"/>
        <v>332</v>
      </c>
      <c r="I28" s="34" t="s">
        <v>24</v>
      </c>
      <c r="J28" s="11"/>
      <c r="K28" s="11" t="s">
        <v>25</v>
      </c>
      <c r="L28" s="8">
        <v>15</v>
      </c>
      <c r="M28" s="33">
        <v>18076.4</v>
      </c>
    </row>
    <row r="29" ht="18" customHeight="1" spans="1:13">
      <c r="A29" s="12"/>
      <c r="B29" s="13"/>
      <c r="C29" s="2" t="s">
        <v>14</v>
      </c>
      <c r="D29" s="8">
        <v>479</v>
      </c>
      <c r="E29" s="8">
        <v>1579</v>
      </c>
      <c r="F29" s="8">
        <v>4882</v>
      </c>
      <c r="G29" s="6">
        <f t="shared" si="0"/>
        <v>6940</v>
      </c>
      <c r="I29" s="35"/>
      <c r="J29" s="36"/>
      <c r="K29" s="37" t="s">
        <v>14</v>
      </c>
      <c r="L29" s="38">
        <v>462</v>
      </c>
      <c r="M29" s="39"/>
    </row>
  </sheetData>
  <mergeCells count="33">
    <mergeCell ref="A1:G1"/>
    <mergeCell ref="I1:M1"/>
    <mergeCell ref="A2:C2"/>
    <mergeCell ref="I2:K2"/>
    <mergeCell ref="A3:C3"/>
    <mergeCell ref="I3:K3"/>
    <mergeCell ref="A4:C4"/>
    <mergeCell ref="I4:K4"/>
    <mergeCell ref="A5:C5"/>
    <mergeCell ref="I5:L5"/>
    <mergeCell ref="A6:A17"/>
    <mergeCell ref="A18:A27"/>
    <mergeCell ref="B6:B9"/>
    <mergeCell ref="B10:B13"/>
    <mergeCell ref="B14:B17"/>
    <mergeCell ref="B18:B22"/>
    <mergeCell ref="B23:B27"/>
    <mergeCell ref="I6:I17"/>
    <mergeCell ref="I18:I27"/>
    <mergeCell ref="J6:J9"/>
    <mergeCell ref="J10:J13"/>
    <mergeCell ref="J14:J17"/>
    <mergeCell ref="J18:J22"/>
    <mergeCell ref="J23:J27"/>
    <mergeCell ref="M2:M4"/>
    <mergeCell ref="M6:M9"/>
    <mergeCell ref="M10:M13"/>
    <mergeCell ref="M14:M17"/>
    <mergeCell ref="M18:M22"/>
    <mergeCell ref="M23:M27"/>
    <mergeCell ref="M28:M29"/>
    <mergeCell ref="A28:B29"/>
    <mergeCell ref="I28:J29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用户分析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</dc:creator>
  <cp:lastModifiedBy>an</cp:lastModifiedBy>
  <dcterms:created xsi:type="dcterms:W3CDTF">2023-07-14T10:57:00Z</dcterms:created>
  <dcterms:modified xsi:type="dcterms:W3CDTF">2023-07-15T06:54:56Z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1747C6612BDA4BC3AADCFEFE778E84A3_11</vt:lpwstr>
  </property>
  <property fmtid="{D5CDD505-2E9C-101B-9397-08002B2CF9AE}" pid="3" name="KSOProductBuildVer">
    <vt:lpwstr>2052-11.1.0.14309</vt:lpwstr>
  </property>
</Properties>
</file>